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011c1a163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063c349fd86a4385"/>
    <x:sheet xmlns:r="http://schemas.openxmlformats.org/officeDocument/2006/relationships" name="作家資料庫" sheetId="2" r:id="R95db46a3d5fa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22"/>
      <x:color rgb="FFFFFFFF"/>
      <x:name val="Carlito"/>
    </x:font>
    <x:font>
      <x:sz val="11"/>
      <x:color rgb="FF415650"/>
      <x:name val="Carlito"/>
    </x:font>
    <x:font>
      <x:b/>
      <x:sz val="11"/>
      <x:color rgb="FFFFFFFF"/>
      <x:name val="Carlito"/>
    </x:font>
    <x:font>
      <x:b/>
      <x:sz val="13"/>
      <x:color rgb="FF17352E"/>
      <x:name val="Carlito"/>
    </x:font>
    <x:font>
      <x:i/>
      <x:sz val="9"/>
      <x:color rgb="FF687872"/>
      <x:name val="Carlito"/>
    </x:font>
    <x:font>
      <x:b/>
      <x:sz val="10"/>
      <x:color rgb="FFFFFFFF"/>
      <x:name val="Carlito"/>
    </x:font>
    <x:font>
      <x:sz val="10"/>
      <x:color rgb="FF233F3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52E"/>
      </x:patternFill>
    </x:fill>
    <x:fill>
      <x:patternFill patternType="solid">
        <x:fgColor rgb="FFF4F0E6"/>
      </x:patternFill>
    </x:fill>
    <x:fill>
      <x:patternFill patternType="solid">
        <x:fgColor rgb="FFD4693E"/>
      </x:patternFill>
    </x:fill>
    <x:fill>
      <x:patternFill patternType="solid">
        <x:fgColor rgb="FFB9D7DF"/>
      </x:patternFill>
    </x:fill>
    <x:fill>
      <x:patternFill patternType="solid">
        <x:fgColor rgb="FFFBF8F0"/>
      </x:patternFill>
    </x:fill>
  </x:fills>
  <x:borders count="23">
    <x:border/>
    <x:border>
      <x:left style="thin">
        <x:color rgb="FFAB4829"/>
      </x:left>
      <x:top style="thin">
        <x:color rgb="FFAB4829"/>
      </x:top>
      <x:bottom style="thin">
        <x:color rgb="FFAB4829"/>
      </x:bottom>
    </x:border>
    <x:border>
      <x:right style="thin">
        <x:color rgb="FFAB4829"/>
      </x:right>
      <x:top style="thin">
        <x:color rgb="FFAB4829"/>
      </x:top>
      <x:bottom style="thin">
        <x:color rgb="FFAB4829"/>
      </x:bottom>
    </x:border>
    <x:border>
      <x:top style="thin">
        <x:color rgb="FFAB4829"/>
      </x:top>
      <x:bottom style="thin">
        <x:color rgb="FFAB4829"/>
      </x:bottom>
    </x:border>
    <x:border>
      <x:right style="thin">
        <x:color rgb="FFD7D9D2"/>
      </x:right>
      <x:bottom style="thin">
        <x:color rgb="FFD7D9D2"/>
      </x:bottom>
    </x:border>
    <x:border>
      <x:left style="thin">
        <x:color rgb="FFD7D9D2"/>
      </x:left>
      <x:bottom style="thin">
        <x:color rgb="FFD7D9D2"/>
      </x:bottom>
    </x:border>
    <x:border>
      <x:right style="thin">
        <x:color rgb="FFD7D9D2"/>
      </x:right>
      <x:top style="thin">
        <x:color rgb="FFD7D9D2"/>
      </x:top>
      <x:bottom style="thin">
        <x:color rgb="FFD7D9D2"/>
      </x:bottom>
    </x:border>
    <x:border>
      <x:left style="thin">
        <x:color rgb="FFD7D9D2"/>
      </x:left>
      <x:top style="thin">
        <x:color rgb="FFD7D9D2"/>
      </x:top>
      <x:bottom style="thin">
        <x:color rgb="FFD7D9D2"/>
      </x:bottom>
    </x:border>
    <x:border>
      <x:right style="thin">
        <x:color rgb="FFD7D9D2"/>
      </x:right>
      <x:top style="thin">
        <x:color rgb="FFD7D9D2"/>
      </x:top>
    </x:border>
    <x:border>
      <x:left style="thin">
        <x:color rgb="FFD7D9D2"/>
      </x:left>
      <x:top style="thin">
        <x:color rgb="FFD7D9D2"/>
      </x:top>
    </x:border>
    <x:border>
      <x:left style="thin">
        <x:color rgb="FFD7D9D2"/>
      </x:left>
      <x:right style="thin">
        <x:color rgb="FFD7D9D2"/>
      </x:right>
      <x:bottom style="thin">
        <x:color rgb="FFD7D9D2"/>
      </x:bottom>
    </x:border>
    <x:border>
      <x:left style="thin">
        <x:color rgb="FFD7D9D2"/>
      </x:left>
      <x:right style="thin">
        <x:color rgb="FFD7D9D2"/>
      </x:right>
      <x:top style="thin">
        <x:color rgb="FFD7D9D2"/>
      </x:top>
      <x:bottom style="thin">
        <x:color rgb="FFD7D9D2"/>
      </x:bottom>
    </x:border>
    <x:border>
      <x:left style="thin">
        <x:color rgb="FFD7D9D2"/>
      </x:left>
      <x:right style="thin">
        <x:color rgb="FFD7D9D2"/>
      </x:right>
      <x:top style="thin">
        <x:color rgb="FFD7D9D2"/>
      </x:top>
    </x:border>
    <x:border>
      <x:top style="thin">
        <x:color rgb="FFD7D9D2"/>
      </x:top>
    </x:border>
    <x:border>
      <x:left style="thin">
        <x:color rgb="FFD7D9D2"/>
      </x:left>
    </x:border>
    <x:border>
      <x:right style="thin">
        <x:color rgb="FFD7D9D2"/>
      </x:right>
    </x:border>
    <x:border>
      <x:bottom style="thin">
        <x:color rgb="FFD7D9D2"/>
      </x:bottom>
    </x:border>
    <x:border>
      <x:right style="thin">
        <x:color rgb="FF557069"/>
      </x:right>
    </x:border>
    <x:border>
      <x:left style="thin">
        <x:color rgb="FF557069"/>
      </x:left>
      <x:right style="thin">
        <x:color rgb="FF557069"/>
      </x:right>
    </x:border>
    <x:border>
      <x:left style="thin">
        <x:color rgb="FF557069"/>
      </x:left>
    </x:border>
    <x:border>
      <x:bottom style="thin">
        <x:color rgb="FFE2E0D9"/>
      </x:bottom>
    </x:border>
    <x:border>
      <x:top style="thin">
        <x:color rgb="FFE2E0D9"/>
      </x:top>
      <x:bottom style="thin">
        <x:color rgb="FFE2E0D9"/>
      </x:bottom>
    </x:border>
    <x:border>
      <x:top style="thin">
        <x:color rgb="FFE2E0D9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200" fontId="0" fillId="0" borderId="5" xfId="0" applyNumberFormat="1" applyFont="1" applyFill="1" applyBorder="1" applyAlignment="1">
      <x:alignment horizontal="right"/>
    </x:xf>
    <x:xf numFmtId="200" fontId="0" fillId="0" borderId="7" xfId="0" applyNumberFormat="1" applyFont="1" applyFill="1" applyBorder="1" applyAlignment="1">
      <x:alignment horizontal="right"/>
    </x:xf>
    <x:xf numFmtId="200" fontId="0" fillId="0" borderId="9" xfId="0" applyNumberFormat="1" applyFont="1" applyFill="1" applyBorder="1" applyAlignment="1">
      <x:alignment horizontal="right"/>
    </x:xf>
    <x:xf numFmtId="200" fontId="0" fillId="0" borderId="10" xfId="0" applyNumberFormat="1" applyFont="1" applyFill="1" applyBorder="1" applyAlignment="1">
      <x:alignment horizontal="right"/>
    </x:xf>
    <x:xf numFmtId="200" fontId="0" fillId="0" borderId="11" xfId="0" applyNumberFormat="1" applyFont="1" applyFill="1" applyBorder="1" applyAlignment="1">
      <x:alignment horizontal="right"/>
    </x:xf>
    <x:xf numFmtId="200" fontId="0" fillId="0" borderId="12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9" xfId="0" applyNumberFormat="1" applyFont="1" applyFill="1" applyBorder="1"/>
    <x:xf numFmtId="0" fontId="2" fillId="6" borderId="13" xfId="0" applyNumberFormat="1" applyFont="1" applyFill="1" applyBorder="1"/>
    <x:xf numFmtId="0" fontId="2" fillId="6" borderId="8" xfId="0" applyNumberFormat="1" applyFont="1" applyFill="1" applyBorder="1"/>
    <x:xf numFmtId="0" fontId="2" fillId="6" borderId="14" xfId="0" applyNumberFormat="1" applyFont="1" applyFill="1" applyBorder="1"/>
    <x:xf numFmtId="0" fontId="2" fillId="6" borderId="15" xfId="0" applyNumberFormat="1" applyFont="1" applyFill="1" applyBorder="1"/>
    <x:xf numFmtId="0" fontId="2" fillId="6" borderId="5" xfId="0" applyNumberFormat="1" applyFont="1" applyFill="1" applyBorder="1"/>
    <x:xf numFmtId="0" fontId="2" fillId="6" borderId="16" xfId="0" applyNumberFormat="1" applyFont="1" applyFill="1" applyBorder="1"/>
    <x:xf numFmtId="0" fontId="2" fillId="6" borderId="4" xfId="0" applyNumberFormat="1" applyFont="1" applyFill="1" applyBorder="1"/>
    <x:xf numFmtId="0" fontId="2" fillId="6" borderId="9" xfId="0" applyNumberFormat="1" applyFont="1" applyFill="1" applyBorder="1" applyAlignment="1">
      <x:alignment wrapText="1"/>
    </x:xf>
    <x:xf numFmtId="0" fontId="2" fillId="6" borderId="13" xfId="0" applyNumberFormat="1" applyFont="1" applyFill="1" applyBorder="1" applyAlignment="1">
      <x:alignment wrapText="1"/>
    </x:xf>
    <x:xf numFmtId="0" fontId="2" fillId="6" borderId="8" xfId="0" applyNumberFormat="1" applyFont="1" applyFill="1" applyBorder="1" applyAlignment="1">
      <x:alignment wrapText="1"/>
    </x:xf>
    <x:xf numFmtId="0" fontId="2" fillId="6" borderId="14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15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wrapText="1"/>
    </x:xf>
    <x:xf numFmtId="0" fontId="2" fillId="6" borderId="16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2" fillId="6" borderId="9" xfId="0" applyNumberFormat="1" applyFont="1" applyFill="1" applyBorder="1" applyAlignment="1">
      <x:alignment vertical="center" wrapText="1"/>
    </x:xf>
    <x:xf numFmtId="0" fontId="2" fillId="6" borderId="13" xfId="0" applyNumberFormat="1" applyFont="1" applyFill="1" applyBorder="1" applyAlignment="1">
      <x:alignment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0" fontId="2" fillId="6" borderId="14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5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  <x:xf numFmtId="0" fontId="2" fillId="6" borderId="16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7" xfId="0" applyNumberFormat="1" applyFont="1" applyFill="1" applyBorder="1"/>
    <x:xf numFmtId="0" fontId="6" fillId="2" borderId="18" xfId="0" applyNumberFormat="1" applyFont="1" applyFill="1" applyBorder="1"/>
    <x:xf numFmtId="0" fontId="6" fillId="2" borderId="19" xfId="0" applyNumberFormat="1" applyFont="1" applyFill="1" applyBorder="1"/>
    <x:xf numFmtId="0" fontId="6" fillId="2" borderId="17" xfId="0" applyNumberFormat="1" applyFont="1" applyFill="1" applyBorder="1" applyAlignment="1">
      <x:alignment wrapText="1"/>
    </x:xf>
    <x:xf numFmtId="0" fontId="6" fillId="2" borderId="18" xfId="0" applyNumberFormat="1" applyFont="1" applyFill="1" applyBorder="1" applyAlignment="1">
      <x:alignment wrapText="1"/>
    </x:xf>
    <x:xf numFmtId="0" fontId="6" fillId="2" borderId="19" xfId="0" applyNumberFormat="1" applyFont="1" applyFill="1" applyBorder="1" applyAlignment="1">
      <x:alignment wrapText="1"/>
    </x:xf>
    <x:xf numFmtId="0" fontId="6" fillId="2" borderId="17" xfId="0" applyNumberFormat="1" applyFont="1" applyFill="1" applyBorder="1" applyAlignment="1">
      <x:alignment horizontal="center" wrapText="1"/>
    </x:xf>
    <x:xf numFmtId="0" fontId="6" fillId="2" borderId="18" xfId="0" applyNumberFormat="1" applyFont="1" applyFill="1" applyBorder="1" applyAlignment="1">
      <x:alignment horizontal="center" wrapText="1"/>
    </x:xf>
    <x:xf numFmtId="0" fontId="6" fillId="2" borderId="19" xfId="0" applyNumberFormat="1" applyFont="1" applyFill="1" applyBorder="1" applyAlignment="1">
      <x:alignment horizontal="center" wrapText="1"/>
    </x:xf>
    <x:xf numFmtId="0" fontId="6" fillId="2" borderId="17" xfId="0" applyNumberFormat="1" applyFont="1" applyFill="1" applyBorder="1" applyAlignment="1">
      <x:alignment horizontal="center" vertical="center" wrapText="1"/>
    </x:xf>
    <x:xf numFmtId="0" fontId="6" fillId="2" borderId="18" xfId="0" applyNumberFormat="1" applyFont="1" applyFill="1" applyBorder="1" applyAlignment="1">
      <x:alignment horizontal="center" vertical="center" wrapText="1"/>
    </x:xf>
    <x:xf numFmtId="0" fontId="6" fillId="2" borderId="1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0" xfId="0" applyNumberFormat="1" applyFont="1" applyFill="1" applyBorder="1"/>
    <x:xf numFmtId="0" fontId="7" fillId="0" borderId="21" xfId="0" applyNumberFormat="1" applyFont="1" applyFill="1" applyBorder="1"/>
    <x:xf numFmtId="0" fontId="7" fillId="0" borderId="22" xfId="0" applyNumberFormat="1" applyFont="1" applyFill="1" applyBorder="1"/>
    <x:xf numFmtId="0" fontId="7" fillId="0" borderId="20" xfId="0" applyNumberFormat="1" applyFont="1" applyFill="1" applyBorder="1" applyAlignment="1">
      <x:alignment wrapText="1"/>
    </x:xf>
    <x:xf numFmtId="0" fontId="7" fillId="0" borderId="21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wrapText="1"/>
    </x:xf>
    <x:xf numFmtId="0" fontId="7" fillId="0" borderId="20" xfId="0" applyNumberFormat="1" applyFont="1" applyFill="1" applyBorder="1" applyAlignment="1">
      <x:alignment vertical="top" wrapText="1"/>
    </x:xf>
    <x:xf numFmtId="0" fontId="7" fillId="0" borderId="21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horizontal="right" vertical="top" wrapText="1"/>
    </x:xf>
    <x:xf numFmtId="0" fontId="7" fillId="0" borderId="21" xfId="0" applyNumberFormat="1" applyFont="1" applyFill="1" applyBorder="1" applyAlignment="1">
      <x:alignment horizontal="right" vertical="top" wrapText="1"/>
    </x:xf>
    <x:xf numFmtId="0" fontId="7" fillId="0" borderId="22" xfId="0" applyNumberFormat="1" applyFont="1" applyFill="1" applyBorder="1" applyAlignment="1">
      <x:alignment horizontal="right" vertical="top" wrapText="1"/>
    </x:xf>
    <x:xf numFmtId="200" fontId="7" fillId="0" borderId="20" xfId="0" applyNumberFormat="1" applyFont="1" applyFill="1" applyBorder="1" applyAlignment="1">
      <x:alignment horizontal="right" vertical="top" wrapText="1"/>
    </x:xf>
    <x:xf numFmtId="200" fontId="7" fillId="0" borderId="21" xfId="0" applyNumberFormat="1" applyFont="1" applyFill="1" applyBorder="1" applyAlignment="1">
      <x:alignment horizontal="right" vertical="top" wrapText="1"/>
    </x:xf>
    <x:xf numFmtId="200" fontId="7" fillId="0" borderId="22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4caa280087442a" /><Relationship Type="http://schemas.openxmlformats.org/officeDocument/2006/relationships/theme" Target="/xl/theme/theme1.xml" Id="R84695f4505f34657" /><Relationship Type="http://schemas.openxmlformats.org/officeDocument/2006/relationships/sharedStrings" Target="/xl/sharedStrings.xml" Id="R1d8e476bb07e4906" /><Relationship Type="http://schemas.openxmlformats.org/officeDocument/2006/relationships/worksheet" Target="/xl/worksheets/sheet1.xml" Id="R063c349fd86a4385" /><Relationship Type="http://schemas.openxmlformats.org/officeDocument/2006/relationships/worksheet" Target="/xl/worksheets/sheet2.xml" Id="R95db46a3d5fa43de" /></Relationships>
</file>

<file path=xl/tables/table1.xml><?xml version="1.0" encoding="utf-8"?>
<x:table xmlns:x="http://schemas.openxmlformats.org/spreadsheetml/2006/main" id="1" name="WritersTable" displayName="WritersTable" ref="A1:R40" headerRowCount="1" totalsRowCount="0" totalsRowShown="0">
  <x:autoFilter ref="A1:R40"/>
  <x:tableColumns count="18">
    <x:tableColumn id="1" name="編號"/>
    <x:tableColumn id="2" name="文類"/>
    <x:tableColumn id="3" name="作家姓名"/>
    <x:tableColumn id="4" name="生卒年"/>
    <x:tableColumn id="5" name="別名／本名"/>
    <x:tableColumn id="6" name="生平簡介"/>
    <x:tableColumn id="7" name="代表作品"/>
    <x:tableColumn id="8" name="作品介紹"/>
    <x:tableColumn id="9" name="作品數"/>
    <x:tableColumn id="10" name="已查證主要作品清單"/>
    <x:tableColumn id="11" name="文學風格"/>
    <x:tableColumn id="12" name="資料狀態"/>
    <x:tableColumn id="13" name="來源一名稱"/>
    <x:tableColumn id="14" name="來源一網址"/>
    <x:tableColumn id="15" name="來源二名稱"/>
    <x:tableColumn id="16" name="來源二網址"/>
    <x:tableColumn id="17" name="來源三名稱"/>
    <x:tableColumn id="18" name="來源三網址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f59d3723f44f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1" hidden="0" customWidth="1"/>
    <x:col min="3" max="3" width="4" hidden="0" customWidth="1"/>
    <x:col min="4" max="4" width="19" hidden="0" customWidth="1"/>
    <x:col min="5" max="5" width="12" hidden="0" customWidth="1"/>
    <x:col min="6" max="6" width="34" hidden="0" customWidth="1"/>
  </x:cols>
  <x:sheetData>
    <x:row r="1" ht="38" customHeight="1">
      <x:c r="A1" s="3" t="str">
        <x:v>苗栗文學步道｜作家資料庫</x:v>
      </x:c>
      <x:c r="B1" s="3"/>
      <x:c r="C1" s="3"/>
      <x:c r="D1" s="3"/>
      <x:c r="E1" s="3"/>
      <x:c r="F1" s="3"/>
    </x:row>
    <x:row r="3" ht="46" customHeight="1">
      <x:c r="A3" s="7" t="str">
        <x:v>收錄苗栗文學步道推廣協會網站的 39 位作家全面清查資料，包含生平、代表作品、252 筆已查證主要作品、文學風格、資料狀態與逐筆來源。</x:v>
      </x:c>
      <x:c r="B3" s="7"/>
      <x:c r="C3" s="7"/>
      <x:c r="D3" s="7"/>
      <x:c r="E3" s="7"/>
      <x:c r="F3" s="7"/>
    </x:row>
    <x:row r="5">
      <x:c r="A5" s="10" t="str">
        <x:v>資料概況</x:v>
      </x:c>
      <x:c r="B5" s="11" t="str">
        <x:v>筆數</x:v>
      </x:c>
      <x:c r="D5" s="10" t="str">
        <x:v>摘要</x:v>
      </x:c>
      <x:c r="E5" s="12" t="str">
        <x:v>數值</x:v>
      </x:c>
      <x:c r="F5" s="11" t="str">
        <x:v>說明</x:v>
      </x:c>
    </x:row>
    <x:row r="6">
      <x:c r="A6" s="13" t="str">
        <x:v>古典文學</x:v>
      </x:c>
      <x:c r="B6" s="28" t="n">
        <x:f>COUNTIF('作家資料庫'!$B$2:$B$40,A6)</x:f>
        <x:v>11</x:v>
      </x:c>
      <x:c r="D6" s="13" t="str">
        <x:v>作家總數</x:v>
      </x:c>
      <x:c r="E6" s="31" t="n">
        <x:f>COUNTA('作家資料庫'!$C$2:$C$40)</x:f>
        <x:v>39</x:v>
      </x:c>
      <x:c r="F6" s="14" t="str">
        <x:v>網站名錄；現地步道為 38 位</x:v>
      </x:c>
    </x:row>
    <x:row r="7">
      <x:c r="A7" s="15" t="str">
        <x:v>小說</x:v>
      </x:c>
      <x:c r="B7" s="29" t="n">
        <x:f>COUNTIF('作家資料庫'!$B$2:$B$40,A7)</x:f>
        <x:v>6</x:v>
      </x:c>
      <x:c r="D7" s="15" t="str">
        <x:v>主要作品筆數</x:v>
      </x:c>
      <x:c r="E7" s="32" t="n">
        <x:f>SUM('作家資料庫'!$I$2:$I$40)</x:f>
        <x:v>252</x:v>
      </x:c>
      <x:c r="F7" s="16" t="str">
        <x:v>已查證主要作品；不宣稱完整全集</x:v>
      </x:c>
    </x:row>
    <x:row r="8">
      <x:c r="A8" s="15" t="str">
        <x:v>散文</x:v>
      </x:c>
      <x:c r="B8" s="29" t="n">
        <x:f>COUNTIF('作家資料庫'!$B$2:$B$40,A8)</x:f>
        <x:v>6</x:v>
      </x:c>
      <x:c r="D8" s="17" t="str">
        <x:v>外部來源連結</x:v>
      </x:c>
      <x:c r="E8" s="33" t="n">
        <x:f>COUNTA('作家資料庫'!$N$2:$N$40)+COUNTA('作家資料庫'!$P$2:$P$40)+COUNTA('作家資料庫'!$R$2:$R$40)</x:f>
        <x:v>117</x:v>
      </x:c>
      <x:c r="F8" s="18" t="str">
        <x:v>逐筆列於資料表的來源網址欄</x:v>
      </x:c>
    </x:row>
    <x:row r="9">
      <x:c r="A9" s="15" t="str">
        <x:v>新詩</x:v>
      </x:c>
      <x:c r="B9" s="29" t="n">
        <x:f>COUNTIF('作家資料庫'!$B$2:$B$40,A9)</x:f>
        <x:v>9</x:v>
      </x:c>
    </x:row>
    <x:row r="10">
      <x:c r="A10" s="15" t="str">
        <x:v>劇作</x:v>
      </x:c>
      <x:c r="B10" s="29" t="n">
        <x:f>COUNTIF('作家資料庫'!$B$2:$B$40,A10)</x:f>
        <x:v>2</x:v>
      </x:c>
    </x:row>
    <x:row r="11">
      <x:c r="A11" s="15" t="str">
        <x:v>兒童文學</x:v>
      </x:c>
      <x:c r="B11" s="29" t="n">
        <x:f>COUNTIF('作家資料庫'!$B$2:$B$40,A11)</x:f>
        <x:v>3</x:v>
      </x:c>
    </x:row>
    <x:row r="12">
      <x:c r="A12" s="17" t="str">
        <x:v>報導文學</x:v>
      </x:c>
      <x:c r="B12" s="30" t="n">
        <x:f>COUNTIF('作家資料庫'!$B$2:$B$40,A12)</x:f>
        <x:v>2</x:v>
      </x:c>
    </x:row>
    <x:row r="15">
      <x:c r="A15" s="35" t="str">
        <x:v>資料使用與校訂原則</x:v>
      </x:c>
      <x:c r="B15" s="35"/>
      <x:c r="C15" s="35"/>
      <x:c r="D15" s="35"/>
      <x:c r="E15" s="35"/>
      <x:c r="F15" s="35"/>
    </x:row>
    <x:row r="16" ht="28" customHeight="1">
      <x:c r="A16" s="55" t="str">
        <x:v>資料優先採用國立臺灣文學館、文化部國家文化記憶庫、國家圖書館、客家委員會、地方政府、正式出版及學術資料，並參考工作資料夾內《客家文化事典》。姓名、年代或版本有異說之處，均在內容與「資料狀態」中明確標示。作品極多或公開書目有限者採主要作品選列，不宣稱完整全集。</x:v>
      </x:c>
      <x:c r="B16" s="56"/>
      <x:c r="C16" s="56"/>
      <x:c r="D16" s="56"/>
      <x:c r="E16" s="56"/>
      <x:c r="F16" s="57"/>
    </x:row>
    <x:row r="17" ht="28" customHeight="1">
      <x:c r="A17" s="58"/>
      <x:c r="B17" s="59"/>
      <x:c r="C17" s="59"/>
      <x:c r="D17" s="59"/>
      <x:c r="E17" s="59"/>
      <x:c r="F17" s="60"/>
    </x:row>
    <x:row r="18" ht="28" customHeight="1">
      <x:c r="A18" s="61"/>
      <x:c r="B18" s="62"/>
      <x:c r="C18" s="62"/>
      <x:c r="D18" s="62"/>
      <x:c r="E18" s="62"/>
      <x:c r="F18" s="63"/>
    </x:row>
    <x:row r="20">
      <x:c r="A20" s="64" t="str">
        <x:v>全面清查版：2026-08-20｜網站：苗栗文學步道（MLT）推廣協會（籌備中）</x:v>
      </x:c>
      <x:c r="B20" s="64"/>
      <x:c r="C20" s="64"/>
      <x:c r="D20" s="64"/>
      <x:c r="E20" s="64"/>
      <x:c r="F20" s="64"/>
    </x:row>
  </x:sheetData>
  <x:mergeCells>
    <x:mergeCell ref="A1:F1"/>
    <x:mergeCell ref="A3:F3"/>
    <x:mergeCell ref="A15:F15"/>
    <x:mergeCell ref="A16:F18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3" hidden="0" customWidth="1"/>
    <x:col min="4" max="4" width="16" hidden="0" customWidth="1"/>
    <x:col min="5" max="5" width="22" hidden="0" customWidth="1"/>
    <x:col min="6" max="6" width="48" hidden="0" customWidth="1"/>
    <x:col min="7" max="7" width="23" hidden="0" customWidth="1"/>
    <x:col min="8" max="8" width="46" hidden="0" customWidth="1"/>
    <x:col min="9" max="9" width="9" hidden="0" customWidth="1"/>
    <x:col min="10" max="10" width="55" hidden="0" customWidth="1"/>
    <x:col min="11" max="11" width="42" hidden="0" customWidth="1"/>
    <x:col min="12" max="12" width="19" hidden="0" customWidth="1"/>
    <x:col min="13" max="13" width="28" hidden="0" customWidth="1"/>
    <x:col min="14" max="14" width="48" hidden="0" customWidth="1"/>
    <x:col min="15" max="15" width="28" hidden="0" customWidth="1"/>
    <x:col min="16" max="16" width="48" hidden="0" customWidth="1"/>
    <x:col min="17" max="17" width="28" hidden="0" customWidth="1"/>
    <x:col min="18" max="18" width="48" hidden="0" customWidth="1"/>
  </x:cols>
  <x:sheetData>
    <x:row r="1" ht="34" customHeight="1">
      <x:c r="A1" s="75" t="str">
        <x:v>編號</x:v>
      </x:c>
      <x:c r="B1" s="76" t="str">
        <x:v>文類</x:v>
      </x:c>
      <x:c r="C1" s="76" t="str">
        <x:v>作家姓名</x:v>
      </x:c>
      <x:c r="D1" s="76" t="str">
        <x:v>生卒年</x:v>
      </x:c>
      <x:c r="E1" s="76" t="str">
        <x:v>別名／本名</x:v>
      </x:c>
      <x:c r="F1" s="76" t="str">
        <x:v>生平簡介</x:v>
      </x:c>
      <x:c r="G1" s="76" t="str">
        <x:v>代表作品</x:v>
      </x:c>
      <x:c r="H1" s="76" t="str">
        <x:v>作品介紹</x:v>
      </x:c>
      <x:c r="I1" s="76" t="str">
        <x:v>作品數</x:v>
      </x:c>
      <x:c r="J1" s="76" t="str">
        <x:v>已查證主要作品清單</x:v>
      </x:c>
      <x:c r="K1" s="76" t="str">
        <x:v>文學風格</x:v>
      </x:c>
      <x:c r="L1" s="76" t="str">
        <x:v>資料狀態</x:v>
      </x:c>
      <x:c r="M1" s="76" t="str">
        <x:v>來源一名稱</x:v>
      </x:c>
      <x:c r="N1" s="76" t="str">
        <x:v>來源一網址</x:v>
      </x:c>
      <x:c r="O1" s="76" t="str">
        <x:v>來源二名稱</x:v>
      </x:c>
      <x:c r="P1" s="76" t="str">
        <x:v>來源二網址</x:v>
      </x:c>
      <x:c r="Q1" s="76" t="str">
        <x:v>來源三名稱</x:v>
      </x:c>
      <x:c r="R1" s="77" t="str">
        <x:v>來源三網址</x:v>
      </x:c>
    </x:row>
    <x:row r="2" ht="180" customHeight="1">
      <x:c r="A2" s="91" t="n">
        <x:v>1</x:v>
      </x:c>
      <x:c r="B2" s="85" t="str">
        <x:v>古典文學</x:v>
      </x:c>
      <x:c r="C2" s="85" t="str">
        <x:v>阮蔡文</x:v>
      </x:c>
      <x:c r="D2" s="85" t="str">
        <x:v>1666／1667—1715／1716</x:v>
      </x:c>
      <x:c r="E2" s="85" t="str">
        <x:v>字子章，號鸛石</x:v>
      </x:c>
      <x:c r="F2" s="85" t="str">
        <x:v>清代福建漳浦人。1715年調任臺灣北路營參將，在臺整飭吏治、撫恤民眾並捐俸興學；其臺灣題材詩文留下清初地方社會的珍貴觀察。</x:v>
      </x:c>
      <x:c r="G2" s="85" t="str">
        <x:v>〈祭無祀鬼文〉</x:v>
      </x:c>
      <x:c r="H2" s="85" t="str">
        <x:v>悼祭流落臺灣、死於異鄉而無人奉祀者的祭文，也反映作者在任期間對地方民生的關懷。</x:v>
      </x:c>
      <x:c r="I2" s="91" t="n">
        <x:v>4</x:v>
      </x:c>
      <x:c r="J2" s="85" t="str">
        <x:v>1. 〈竹塹〉｜古典詩
2. 〈虎尾溪〉｜古典詩
3. 〈祭淡水將士文〉｜祭文
4. 〈祭無祀鬼文〉｜祭文</x:v>
      </x:c>
      <x:c r="K2" s="85" t="str">
        <x:v>以官員親歷寫地方風物與民瘼，文字兼具紀實、憫恤與教化色彩。</x:v>
      </x:c>
      <x:c r="L2" s="85" t="str">
        <x:v>已核對・生卒年有異說</x:v>
      </x:c>
      <x:c r="M2" s="85" t="str">
        <x:v>國家文化記憶庫・阮蔡文詩作</x:v>
      </x:c>
      <x:c r="N2" s="85" t="str">
        <x:v>https://tcmb.culture.tw/zh-tw/detail?id=159792&amp;indexCode=Culture_Invisible</x:v>
      </x:c>
      <x:c r="O2" s="85" t="str">
        <x:v>國家文化記憶庫・文武雙全的治臺名將阮蔡文</x:v>
      </x:c>
      <x:c r="P2" s="85" t="str">
        <x:v>https://tcmb.culture.tw/zh-tw/detail?id=129375&amp;indexCode=Culture_Object</x:v>
      </x:c>
      <x:c r="Q2" s="85" t="str"/>
      <x:c r="R2" s="85" t="str"/>
    </x:row>
    <x:row r="3" ht="180" customHeight="1">
      <x:c r="A3" s="92" t="n">
        <x:v>2</x:v>
      </x:c>
      <x:c r="B3" s="86" t="str">
        <x:v>古典文學</x:v>
      </x:c>
      <x:c r="C3" s="86" t="str">
        <x:v>黃清泰</x:v>
      </x:c>
      <x:c r="D3" s="86" t="str">
        <x:v>？—1822</x:v>
      </x:c>
      <x:c r="E3" s="86" t="str">
        <x:v>字淡川，一字承伯</x:v>
      </x:c>
      <x:c r="F3" s="86" t="str">
        <x:v>祖籍廣東鎮平，先後居於鳳山與頭份，任武職三十餘年。1822年與海盜作戰負傷，未及赴任新職即卒；史料稱其好學能詩，有儒將之風。</x:v>
      </x:c>
      <x:c r="G3" s="86" t="str">
        <x:v>〈大甲溪〉</x:v>
      </x:c>
      <x:c r="H3" s="86" t="str">
        <x:v>現存四首詩之一，以行旅所見書寫臺灣河川地景；另存〈烏水溪〉、〈九日登八卦山〉等作。</x:v>
      </x:c>
      <x:c r="I3" s="92" t="n">
        <x:v>4</x:v>
      </x:c>
      <x:c r="J3" s="86" t="str">
        <x:v>1. 〈大甲溪〉｜古典詩
2. 〈烏水溪〉｜古典詩
3. 〈九日登八卦山〉｜古典詩
4. 〈觀岸裡社番踏歌〉｜古典詩</x:v>
      </x:c>
      <x:c r="K3" s="86" t="str">
        <x:v>以軍旅行履結合臺灣山川紀遊，筆調清健。</x:v>
      </x:c>
      <x:c r="L3" s="86" t="str">
        <x:v>已核對・作品已擴充</x:v>
      </x:c>
      <x:c r="M3" s="86" t="str">
        <x:v>客家委員會・黃清泰研究</x:v>
      </x:c>
      <x:c r="N3" s="86" t="str">
        <x:v>https://cloud.hakka.gov.tw/Attachment/1/9111215274271.pdf</x:v>
      </x:c>
      <x:c r="O3" s="86" t="str">
        <x:v>國立臺灣文學館・全臺詩來源索引</x:v>
      </x:c>
      <x:c r="P3" s="86" t="str">
        <x:v>https://db.nmtl.gov.tw/site5/poemsource?source=%E3%80%8A%E8%87%BA%E7%81%A3%E8%A9%A9%E9%8C%84%E3%80%8B</x:v>
      </x:c>
      <x:c r="Q3" s="86" t="str"/>
      <x:c r="R3" s="86" t="str"/>
    </x:row>
    <x:row r="4" ht="180" customHeight="1">
      <x:c r="A4" s="92" t="n">
        <x:v>3</x:v>
      </x:c>
      <x:c r="B4" s="86" t="str">
        <x:v>古典文學</x:v>
      </x:c>
      <x:c r="C4" s="86" t="str">
        <x:v>黎瑩</x:v>
      </x:c>
      <x:c r="D4" s="86" t="str">
        <x:v>1782—1843（卒年有異說）</x:v>
      </x:c>
      <x:c r="E4" s="86" t="str">
        <x:v>譜名學源，號珠甫</x:v>
      </x:c>
      <x:c r="F4" s="86" t="str">
        <x:v>清代苗栗重要教育家與古典詩人，1782年生，後定居西湖並以教讀維生，形成三湖村黎氏塾師世家。國家文化記憶庫同一條目並存1833與1843兩種卒年記載，條目考證傾向1843年。</x:v>
      </x:c>
      <x:c r="G4" s="86" t="str">
        <x:v>《吟香詩集》</x:v>
      </x:c>
      <x:c r="H4" s="86" t="str">
        <x:v>國家文化記憶庫以此詩集標示其古典詩創作脈絡；作品與版本資訊仍需進一步校勘。</x:v>
      </x:c>
      <x:c r="I4" s="92" t="n">
        <x:v>2</x:v>
      </x:c>
      <x:c r="J4" s="86" t="str">
        <x:v>1. 《吟香詩集》｜詩集｜據國家文化記憶庫條目
2. 《高祖自作詩》｜手抄詩稿｜現存手稿題名；收詩140首，其中128首可歸於黎瑩</x:v>
      </x:c>
      <x:c r="K4" s="86" t="str">
        <x:v>以傳統漢詩與地方教育實踐相連；更細緻的風格判定待作品校勘後補充。</x:v>
      </x:c>
      <x:c r="L4" s="86" t="str">
        <x:v>已核對・卒年有異說</x:v>
      </x:c>
      <x:c r="M4" s="86" t="str">
        <x:v>國家文化記憶庫・黎瑩</x:v>
      </x:c>
      <x:c r="N4" s="86" t="str">
        <x:v>https://tcmb.culture.tw/zh-tw/detail?id=333107&amp;indexCode=Culture_People</x:v>
      </x:c>
      <x:c r="O4" s="86" t="str"/>
      <x:c r="P4" s="86" t="str"/>
      <x:c r="Q4" s="86" t="str"/>
      <x:c r="R4" s="86" t="str"/>
    </x:row>
    <x:row r="5" ht="180" customHeight="1">
      <x:c r="A5" s="92" t="n">
        <x:v>4</x:v>
      </x:c>
      <x:c r="B5" s="86" t="str">
        <x:v>古典文學</x:v>
      </x:c>
      <x:c r="C5" s="86" t="str">
        <x:v>吳子光</x:v>
      </x:c>
      <x:c r="D5" s="86" t="str">
        <x:v>1819—1883</x:v>
      </x:c>
      <x:c r="E5" s="86" t="str">
        <x:v>字芸閣，晚號鐵梅道人</x:v>
      </x:c>
      <x:c r="F5" s="86" t="str">
        <x:v>清代文人與教育家，1837年起多次渡臺，後定居苗栗銅鑼雙峰山，設草堂授徒。其著述兼具詩文、地方紀事與教育史價值。</x:v>
      </x:c>
      <x:c r="G5" s="86" t="str">
        <x:v>《臺灣紀事》</x:v>
      </x:c>
      <x:c r="H5" s="86" t="str">
        <x:v>後人自其稿本輯出與臺灣史跡相關的文字，收入《臺灣文獻叢刊》，是研究清代臺灣地方社會的重要材料。</x:v>
      </x:c>
      <x:c r="I5" s="92" t="n">
        <x:v>6</x:v>
      </x:c>
      <x:c r="J5" s="86" t="str">
        <x:v>1. 《一肚皮集》｜文集｜18卷
2. 《小草拾遺》｜附集｜1卷
3. 《三長贅筆》｜筆記｜16卷
4. 《經餘雜錄》｜雜錄｜12卷
5. 《臺灣紀事》｜地方紀事
6. 《吳子光全書》｜後人輯本</x:v>
      </x:c>
      <x:c r="K5" s="86" t="str">
        <x:v>兼採紀事、議論與詩文，重視地方文教與民生觀察。</x:v>
      </x:c>
      <x:c r="L5" s="86" t="str">
        <x:v>已核對・作品已擴充</x:v>
      </x:c>
      <x:c r="M5" s="86" t="str">
        <x:v>國家圖書館・臺灣記憶</x:v>
      </x:c>
      <x:c r="N5" s="86" t="str">
        <x:v>https://tm.ncl.edu.tw/article?u=016_001_0000008454</x:v>
      </x:c>
      <x:c r="O5" s="86" t="str"/>
      <x:c r="P5" s="86" t="str"/>
      <x:c r="Q5" s="86" t="str"/>
      <x:c r="R5" s="86" t="str"/>
    </x:row>
    <x:row r="6" ht="180" customHeight="1">
      <x:c r="A6" s="92" t="n">
        <x:v>5</x:v>
      </x:c>
      <x:c r="B6" s="86" t="str">
        <x:v>古典文學</x:v>
      </x:c>
      <x:c r="C6" s="86" t="str">
        <x:v>張維垣</x:v>
      </x:c>
      <x:c r="D6" s="86" t="str">
        <x:v>1827—1892</x:v>
      </x:c>
      <x:c r="E6" s="86" t="str">
        <x:v>字祿興，號星樞</x:v>
      </x:c>
      <x:c r="F6" s="86" t="str">
        <x:v>清代苗栗地方文人，1871年中進士，與苗栗地方文教及張氏家族史密切相關。現存創作主要見於後人整理的詩稿與地方文獻。</x:v>
      </x:c>
      <x:c r="G6" s="86" t="str">
        <x:v>《張維垣先生閒吟詩遺稿》</x:v>
      </x:c>
      <x:c r="H6" s="86" t="str">
        <x:v>後人整理其漢詩而成，是認識其古典詩創作的主要文獻。</x:v>
      </x:c>
      <x:c r="I6" s="92" t="n">
        <x:v>1</x:v>
      </x:c>
      <x:c r="J6" s="86" t="str">
        <x:v>1. 《張維垣先生閒吟詩遺稿》｜遺稿輯本｜現存作品主要由後人輯存</x:v>
      </x:c>
      <x:c r="K6" s="86" t="str">
        <x:v>傳統近體詩寫作；細部風格不在資料不足時逕作推論。</x:v>
      </x:c>
      <x:c r="L6" s="86" t="str">
        <x:v>已核對・作品已擴充</x:v>
      </x:c>
      <x:c r="M6" s="86" t="str">
        <x:v>國家文化記憶庫・張維垣宅</x:v>
      </x:c>
      <x:c r="N6" s="86" t="str">
        <x:v>https://tcmb.culture.tw/zh-tw/detail?id=201966&amp;indexCode=Culture_Place</x:v>
      </x:c>
      <x:c r="O6" s="86" t="str"/>
      <x:c r="P6" s="86" t="str"/>
      <x:c r="Q6" s="86" t="str"/>
      <x:c r="R6" s="86" t="str"/>
    </x:row>
    <x:row r="7" ht="180" customHeight="1">
      <x:c r="A7" s="92" t="n">
        <x:v>6</x:v>
      </x:c>
      <x:c r="B7" s="86" t="str">
        <x:v>古典文學</x:v>
      </x:c>
      <x:c r="C7" s="86" t="str">
        <x:v>蔡啟運</x:v>
      </x:c>
      <x:c r="D7" s="86" t="str">
        <x:v>1855—1911</x:v>
      </x:c>
      <x:c r="E7" s="86" t="str">
        <x:v>名振豐，字啟運，號應時</x:v>
      </x:c>
      <x:c r="F7" s="86" t="str">
        <x:v>苗栗苑裡人，清代古典詩人。曾組織竹梅吟社，並為櫟社早期重要成員；1895年參與抗日，失敗後退居詩文生活。名錄原標1862，依國家文化記憶庫更正為1855年生。</x:v>
      </x:c>
      <x:c r="G7" s="86" t="str">
        <x:v>《養餘軒詩鈔》</x:v>
      </x:c>
      <x:c r="H7" s="86" t="str">
        <x:v>未刊詩稿；另有《啟運詩鈔》及收錄四百餘首唱酬作品的《臺海擊缽吟集》。</x:v>
      </x:c>
      <x:c r="I7" s="92" t="n">
        <x:v>5</x:v>
      </x:c>
      <x:c r="J7" s="86" t="str">
        <x:v>1. 《養餘軒詩鈔》｜詩稿｜未刊
2. 《啟運詩鈔》｜詩鈔｜《櫟社第一集》錄18首
3. 《臺海擊缽吟集》｜詩集｜蔡汝修編，收唱酬詩400餘首
4. 〈苑裡蓆歌〉｜古典詩
5. 《苑裡志》｜地方志｜參與修編</x:v>
      </x:c>
      <x:c r="K7" s="86" t="str">
        <x:v>詩文唱酬與遺民情懷並見，也書寫苑裡藺草等地方物產。</x:v>
      </x:c>
      <x:c r="L7" s="86" t="str">
        <x:v>已核對・作品已擴充</x:v>
      </x:c>
      <x:c r="M7" s="86" t="str">
        <x:v>國家文化記憶庫・蔡啟運</x:v>
      </x:c>
      <x:c r="N7" s="86" t="str">
        <x:v>https://tcmb.culture.tw/zh-tw/detail?id=333098&amp;indexCode=Culture_People</x:v>
      </x:c>
      <x:c r="O7" s="86" t="str"/>
      <x:c r="P7" s="86" t="str"/>
      <x:c r="Q7" s="86" t="str"/>
      <x:c r="R7" s="86" t="str"/>
    </x:row>
    <x:row r="8" ht="180" customHeight="1">
      <x:c r="A8" s="92" t="n">
        <x:v>7</x:v>
      </x:c>
      <x:c r="B8" s="86" t="str">
        <x:v>古典文學</x:v>
      </x:c>
      <x:c r="C8" s="86" t="str">
        <x:v>丘逢甲</x:v>
      </x:c>
      <x:c r="D8" s="86" t="str">
        <x:v>1864—1912</x:v>
      </x:c>
      <x:c r="E8" s="86" t="str">
        <x:v>字仙根，號蟄仙、滄海</x:v>
      </x:c>
      <x:c r="F8" s="86" t="str">
        <x:v>生於苗栗銅鑼，清末進士、詩人與教育家。1895年反對割臺並參與臺灣民主國，後內渡廣東持續辦學與創作。</x:v>
      </x:c>
      <x:c r="G8" s="86" t="str">
        <x:v>《柏莊詩草》</x:v>
      </x:c>
      <x:c r="H8" s="86" t="str">
        <x:v>收錄其在臺時期的重要詩作，呈現感時憂世、關注臺灣命運與地方風物的面向。</x:v>
      </x:c>
      <x:c r="I8" s="92" t="n">
        <x:v>6</x:v>
      </x:c>
      <x:c r="J8" s="86" t="str">
        <x:v>1. 《柏莊詩草》｜詩集
2. 《嶺雲海日樓詩鈔》｜詩集
3. 〈春愁〉｜古典詩
4. 〈離臺詩〉｜古典詩
5. 〈還山書感〉｜古典詩
6. 〈澳門雜詩〉｜組詩</x:v>
      </x:c>
      <x:c r="K8" s="86" t="str">
        <x:v>強調詩史精神與時政關懷，語勢明朗強健，並實踐詩界革命。</x:v>
      </x:c>
      <x:c r="L8" s="86" t="str">
        <x:v>已核對・作品已擴充</x:v>
      </x:c>
      <x:c r="M8" s="86" t="str">
        <x:v>國立臺灣文學館・臺灣文學辭典</x:v>
      </x:c>
      <x:c r="N8" s="86" t="str">
        <x:v>https://db.nmtl.gov.tw/site2/dictionary?id=Dictionary01139</x:v>
      </x:c>
      <x:c r="O8" s="86" t="str">
        <x:v>國立臺灣文學館・全臺詩作品索引</x:v>
      </x:c>
      <x:c r="P8" s="86" t="str">
        <x:v>https://db.nmtl.gov.tw/site5/poemlist?id=999</x:v>
      </x:c>
      <x:c r="Q8" s="86" t="str"/>
      <x:c r="R8" s="86" t="str"/>
    </x:row>
    <x:row r="9" ht="180" customHeight="1">
      <x:c r="A9" s="92" t="n">
        <x:v>8</x:v>
      </x:c>
      <x:c r="B9" s="86" t="str">
        <x:v>古典文學</x:v>
      </x:c>
      <x:c r="C9" s="86" t="str">
        <x:v>陳瑚（字滄玉）</x:v>
      </x:c>
      <x:c r="D9" s="86" t="str">
        <x:v>1875—1922</x:v>
      </x:c>
      <x:c r="E9" s="86" t="str">
        <x:v>字滄玉，號枕山、趣園</x:v>
      </x:c>
      <x:c r="F9" s="86" t="str">
        <x:v>苗栗苑裡人，詩人、教師、記者與地方實業參與者，為櫟社早期重要成員。名錄中的「陳滄玉」是以字稱人，本名陳瑚；國立臺灣文學館資料記其生年為1875年。</x:v>
      </x:c>
      <x:c r="G9" s="86" t="str">
        <x:v>《枕山詩鈔》</x:v>
      </x:c>
      <x:c r="H9" s="86" t="str">
        <x:v>陳瑚逝世後由詩友整理刊行的主要詩作結集；其生前作品另以〈趣園詩草〉之名收入《櫟社第一集》。</x:v>
      </x:c>
      <x:c r="I9" s="92" t="n">
        <x:v>6</x:v>
      </x:c>
      <x:c r="J9" s="86" t="str">
        <x:v>1. 《枕山詩鈔》｜詩集｜身後輯刊
2. 〈趣園詩草〉｜詩作輯錄｜收入《櫟社第一集》
3. 〈井底蛙〉｜古典詩
4. 〈棄婦詞〉｜古典詩
5. 〈追懷劉壯肅公〉｜古典詩
6. 〈新春小集〉｜古典詩</x:v>
      </x:c>
      <x:c r="K9" s="86" t="str">
        <x:v>以漢詩唱酬、地方景物與時代感懷為主要取向。</x:v>
      </x:c>
      <x:c r="L9" s="86" t="str">
        <x:v>已核對・作品已擴充</x:v>
      </x:c>
      <x:c r="M9" s="86" t="str">
        <x:v>國立臺灣文學館・陳瑚辭典條目</x:v>
      </x:c>
      <x:c r="N9" s="86" t="str">
        <x:v>https://db.nmtl.gov.tw/site2/dictionary?id=Dictionary01645</x:v>
      </x:c>
      <x:c r="O9" s="86" t="str">
        <x:v>國立臺灣文學館・陳瑚全臺詩索引</x:v>
      </x:c>
      <x:c r="P9" s="86" t="str">
        <x:v>https://db.nmtl.gov.tw/site5/poemlist?id=1035</x:v>
      </x:c>
      <x:c r="Q9" s="86" t="str"/>
      <x:c r="R9" s="86" t="str"/>
    </x:row>
    <x:row r="10" ht="180" customHeight="1">
      <x:c r="A10" s="92" t="n">
        <x:v>9</x:v>
      </x:c>
      <x:c r="B10" s="86" t="str">
        <x:v>古典文學</x:v>
      </x:c>
      <x:c r="C10" s="86" t="str">
        <x:v>羅福星</x:v>
      </x:c>
      <x:c r="D10" s="86" t="str">
        <x:v>1884／1886—1914</x:v>
      </x:c>
      <x:c r="E10" s="86" t="str">
        <x:v>字東亞，號國權</x:v>
      </x:c>
      <x:c r="F10" s="86" t="str">
        <x:v>生於印尼雅加達，青年時來臺居苗栗並參與革命組織。1913年苗栗事件後遭捕，1914年在臺北監獄被處絞刑。部分資料作1884年生，本站採文化部資料的1886年並保留分歧。</x:v>
      </x:c>
      <x:c r="G10" s="86" t="str">
        <x:v>〈祝我民國詞〉</x:v>
      </x:c>
      <x:c r="H10" s="86" t="str">
        <x:v>獄中以「中華民國孫逸仙救」八字為句首寫成，凝聚其政治理想與犧牲意志。</x:v>
      </x:c>
      <x:c r="I10" s="92" t="n">
        <x:v>2</x:v>
      </x:c>
      <x:c r="J10" s="86" t="str">
        <x:v>1. 〈從軍新樂府〉｜古典詩
2. 〈祝我民國詞〉｜古典詩／獄中詩</x:v>
      </x:c>
      <x:c r="K10" s="86" t="str">
        <x:v>以古典詩詞形式承載革命宣言與民族情感。</x:v>
      </x:c>
      <x:c r="L10" s="86" t="str">
        <x:v>已核對・生年有異說</x:v>
      </x:c>
      <x:c r="M10" s="86" t="str">
        <x:v>國家文化記憶庫・羅福星</x:v>
      </x:c>
      <x:c r="N10" s="86" t="str">
        <x:v>https://tcmb.culture.tw/zh-tw/detail?id=333861&amp;indexCode=Culture_People</x:v>
      </x:c>
      <x:c r="O10" s="86" t="str">
        <x:v>國家文化記憶庫・羅福星詩文</x:v>
      </x:c>
      <x:c r="P10" s="86" t="str">
        <x:v>https://tcmb.culture.tw/zh-tw/detail?id=12000001591&amp;indexCode=MOCCOLLECTIONS</x:v>
      </x:c>
      <x:c r="Q10" s="86" t="str"/>
      <x:c r="R10" s="86" t="str"/>
    </x:row>
    <x:row r="11" ht="180" customHeight="1">
      <x:c r="A11" s="92" t="n">
        <x:v>10</x:v>
      </x:c>
      <x:c r="B11" s="86" t="str">
        <x:v>古典文學</x:v>
      </x:c>
      <x:c r="C11" s="86" t="str">
        <x:v>張漢文</x:v>
      </x:c>
      <x:c r="D11" s="86" t="str">
        <x:v>1902—1979</x:v>
      </x:c>
      <x:c r="E11" s="86" t="str">
        <x:v>地方文人、教育者</x:v>
      </x:c>
      <x:c r="F11" s="86" t="str">
        <x:v>苗栗頭份地方文人，1902年生、1979年卒。曾赴日本及中國求學，為康有為萬木草堂末代門生之一；民國初年曾任外交人員、派駐日本與新加坡，戰後返臺，持續書寫苗栗地方文化。</x:v>
      </x:c>
      <x:c r="G11" s="86" t="str">
        <x:v>《張漢文先生作品集》</x:v>
      </x:c>
      <x:c r="H11" s="86" t="str">
        <x:v>後人整理為兩冊作品集；另可查〈永貞宮改建記〉，多數詩文曾刊於《醒獅》雜誌。</x:v>
      </x:c>
      <x:c r="I11" s="92" t="n">
        <x:v>3</x:v>
      </x:c>
      <x:c r="J11" s="86" t="str">
        <x:v>1. 《張漢文先生作品集》｜作品集｜全兩冊
2. 〈永貞宮改建記〉｜碑記
3. 《醒獅》雜誌所刊詩文｜期刊作品｜多數作品散見《醒獅》</x:v>
      </x:c>
      <x:c r="K11" s="86" t="str">
        <x:v>以傳統詩文、碑記與地方文化書寫為主，連結民國初年學術養成與戰後苗栗文史記憶。</x:v>
      </x:c>
      <x:c r="L11" s="86" t="str">
        <x:v>已核對・來源與年份已更正</x:v>
      </x:c>
      <x:c r="M11" s="86" t="str">
        <x:v>國家文化記憶庫・張漢文</x:v>
      </x:c>
      <x:c r="N11" s="86" t="str">
        <x:v>https://tcmb.culture.tw/zh-tw/detail?indexCode=Culture_People&amp;id=333870</x:v>
      </x:c>
      <x:c r="O11" s="86" t="str"/>
      <x:c r="P11" s="86" t="str"/>
      <x:c r="Q11" s="86" t="str"/>
      <x:c r="R11" s="86" t="str"/>
    </x:row>
    <x:row r="12" ht="180" customHeight="1">
      <x:c r="A12" s="92" t="n">
        <x:v>11</x:v>
      </x:c>
      <x:c r="B12" s="86" t="str">
        <x:v>古典文學</x:v>
      </x:c>
      <x:c r="C12" s="86" t="str">
        <x:v>賴江質</x:v>
      </x:c>
      <x:c r="D12" s="86" t="str">
        <x:v>1907—1992</x:v>
      </x:c>
      <x:c r="E12" s="86" t="str">
        <x:v>字閒鷗，號綠水</x:v>
      </x:c>
      <x:c r="F12" s="86" t="str">
        <x:v>苗栗詩人，曾任栗社社長，兼擅詩詞、書法、客家歌謠與地方文史，被稱為「苗栗詩仙」。晚年仍教授漢詩。</x:v>
      </x:c>
      <x:c r="G12" s="86" t="str">
        <x:v>《綠水閒鷗集》</x:v>
      </x:c>
      <x:c r="H12" s="86" t="str">
        <x:v>1993年由黃鼎松整理出版，收錄其一生作品；其中七十首「苗栗竹枝詞」以十八鄉鎮風貌為題。</x:v>
      </x:c>
      <x:c r="I12" s="92" t="n">
        <x:v>4</x:v>
      </x:c>
      <x:c r="J12" s="86" t="str">
        <x:v>1. 《綠水閒鷗集》｜詩文集
2. 〈苗栗竹枝詞〉｜組詩｜共70首，描寫苗栗18鄉鎮
3. 客家山歌歌詞｜歌詞｜散見於作品集
4. 詩鐘與楹聯｜傳統文學｜散見於作品集</x:v>
      </x:c>
      <x:c r="K12" s="86" t="str">
        <x:v>融地方地理、民情風俗與客家語感入傳統詩詞。</x:v>
      </x:c>
      <x:c r="L12" s="86" t="str">
        <x:v>已核對・作品已擴充</x:v>
      </x:c>
      <x:c r="M12" s="86" t="str">
        <x:v>國家文化記憶庫・賴江質</x:v>
      </x:c>
      <x:c r="N12" s="86" t="str">
        <x:v>https://tcmb.culture.tw/zh-tw/detail?id=332283&amp;indexCode=Culture_People</x:v>
      </x:c>
      <x:c r="O12" s="86" t="str"/>
      <x:c r="P12" s="86" t="str"/>
      <x:c r="Q12" s="86" t="str"/>
      <x:c r="R12" s="86" t="str"/>
    </x:row>
    <x:row r="13" ht="180" customHeight="1">
      <x:c r="A13" s="92" t="n">
        <x:v>12</x:v>
      </x:c>
      <x:c r="B13" s="86" t="str">
        <x:v>小說</x:v>
      </x:c>
      <x:c r="C13" s="86" t="str">
        <x:v>吳濁流</x:v>
      </x:c>
      <x:c r="D13" s="86" t="str">
        <x:v>1900—1976</x:v>
      </x:c>
      <x:c r="E13" s="86" t="str">
        <x:v>本名吳建田，號饒耕</x:v>
      </x:c>
      <x:c r="F13" s="86" t="str">
        <x:v>新竹新埔人，曾任教員、記者與公職。1936年開始小說創作，1964年創辦《臺灣文藝》，並設文學獎鼓勵本土作家。曾在苗栗西湖任教，與苗栗文學史關係深厚。</x:v>
      </x:c>
      <x:c r="G13" s="86" t="str">
        <x:v>《亞細亞的孤兒》</x:v>
      </x:c>
      <x:c r="H13" s="86" t="str">
        <x:v>透過胡太明在臺灣、日本與中國間的遭遇，呈現殖民統治下臺灣人的認同困境，是臺灣文學的重要經典。</x:v>
      </x:c>
      <x:c r="I13" s="92" t="n">
        <x:v>11</x:v>
      </x:c>
      <x:c r="J13" s="86" t="str">
        <x:v>1. 《亞細亞的孤兒》｜長篇小說
2. 《無花果》｜自傳體小說
3. 《臺灣連翹》｜回憶／評論
4. 〈水月〉｜小說
5. 〈泥沼中的金鯉魚〉｜小說
6. 〈功狗〉｜小說
7. 〈波茨坦科長〉｜小說
8. 〈狡猿〉｜小說
9. 《南京雜感》｜散文
10. 《黎明前的臺灣》｜文集
11. 《台灣文藝與我》｜文學回憶</x:v>
      </x:c>
      <x:c r="K13" s="86" t="str">
        <x:v>寫實而具歷史使命感，關注殖民處境、社會荒謬與臺灣人的精神命運。</x:v>
      </x:c>
      <x:c r="L13" s="86" t="str">
        <x:v>已核對・作品已擴充</x:v>
      </x:c>
      <x:c r="M13" s="86" t="str">
        <x:v>國立臺灣文學館・吳濁流辭典條目</x:v>
      </x:c>
      <x:c r="N13" s="86" t="str">
        <x:v>https://db.nmtl.gov.tw/site2/dictionary?id=Dictionary01145</x:v>
      </x:c>
      <x:c r="O13" s="86" t="str">
        <x:v>國立臺灣文學館・吳濁流作品條目</x:v>
      </x:c>
      <x:c r="P13" s="86" t="str">
        <x:v>https://db.nmtl.gov.tw/site2/dictionary?id=Dictionary00226</x:v>
      </x:c>
      <x:c r="Q13" s="86" t="str"/>
      <x:c r="R13" s="86" t="str"/>
    </x:row>
    <x:row r="14" ht="180" customHeight="1">
      <x:c r="A14" s="92" t="n">
        <x:v>13</x:v>
      </x:c>
      <x:c r="B14" s="86" t="str">
        <x:v>小說</x:v>
      </x:c>
      <x:c r="C14" s="86" t="str">
        <x:v>李喬</x:v>
      </x:c>
      <x:c r="D14" s="86" t="str">
        <x:v>1934—</x:v>
      </x:c>
      <x:c r="E14" s="86" t="str">
        <x:v>本名李能棋，評論筆名壹闡提</x:v>
      </x:c>
      <x:c r="F14" s="86" t="str">
        <x:v>苗栗大湖人，小說家與文化評論者，長期任教。1959年發表首篇小說，創作橫跨短篇、長篇與文化論述。</x:v>
      </x:c>
      <x:c r="G14" s="86" t="str">
        <x:v>《寒夜三部曲》</x:v>
      </x:c>
      <x:c r="H14" s="86" t="str">
        <x:v>以清末至日治時期苗栗山村為背景，描寫拓墾、抗爭與戰爭下的庶民生命，是臺灣大河小說的重要里程碑。</x:v>
      </x:c>
      <x:c r="I14" s="92" t="n">
        <x:v>7</x:v>
      </x:c>
      <x:c r="J14" s="86" t="str">
        <x:v>1. 《寒夜》｜長篇小說｜《寒夜三部曲》之一
2. 《孤燈》｜長篇小說｜《寒夜三部曲》之二
3. 《荒村》｜長篇小說｜《寒夜三部曲》之三
4. 《藍彩霞的春天》｜長篇小說
5. 《埋冤一九四七埋冤》｜長篇小說
6. 《咒之環》｜長篇小說
7. 《臺灣，我的母親》｜客語史詩</x:v>
      </x:c>
      <x:c r="K14" s="86" t="str">
        <x:v>結合歷史寫實、意識流與強烈的人道批判，建構庶民觀點的臺灣史。</x:v>
      </x:c>
      <x:c r="L14" s="86" t="str">
        <x:v>已核對・作品已擴充</x:v>
      </x:c>
      <x:c r="M14" s="86" t="str">
        <x:v>國家文化記憶庫・《寒夜三部曲》</x:v>
      </x:c>
      <x:c r="N14" s="86" t="str">
        <x:v>https://tcmb.culture.tw/zh-tw/detail?id=333887&amp;indexCode=Culture_Object</x:v>
      </x:c>
      <x:c r="O14" s="86" t="str">
        <x:v>國家文化記憶庫・《臺灣，我的母親》</x:v>
      </x:c>
      <x:c r="P14" s="86" t="str">
        <x:v>https://tcmb.culture.tw/zh-tw/detail?id=26000336803&amp;indexCode=MOCCOLLECTIONS</x:v>
      </x:c>
      <x:c r="Q14" s="86" t="str"/>
      <x:c r="R14" s="86" t="str"/>
    </x:row>
    <x:row r="15" ht="180" customHeight="1">
      <x:c r="A15" s="92" t="n">
        <x:v>14</x:v>
      </x:c>
      <x:c r="B15" s="86" t="str">
        <x:v>小說</x:v>
      </x:c>
      <x:c r="C15" s="86" t="str">
        <x:v>田敏忠</x:v>
      </x:c>
      <x:c r="D15" s="86" t="str">
        <x:v>1943—2003</x:v>
      </x:c>
      <x:c r="E15" s="86" t="str">
        <x:v>族名游霸士・撓給赫</x:v>
      </x:c>
      <x:c r="F15" s="86" t="str">
        <x:v>泰雅族作家，生於苗栗泰安鄉大安溪流域的天狗部落。創作與翻譯聚焦族群認同、部落傳統、口傳歷史及原住民族處境。</x:v>
      </x:c>
      <x:c r="G15" s="86" t="str">
        <x:v>《天狗部落之歌》</x:v>
      </x:c>
      <x:c r="H15" s="86" t="str">
        <x:v>1995年出版的短篇小說集，從部落生活、歷史記憶與族群觀點書寫泰雅世界；另有《赤裸山脈》。</x:v>
      </x:c>
      <x:c r="I15" s="92" t="n">
        <x:v>5</x:v>
      </x:c>
      <x:c r="J15" s="86" t="str">
        <x:v>1. 《天狗部落之歌》｜小說集
2. 《赤裸山脈》｜小說
3. 《丸田砲臺進出》｜小說
4. 《尤霸士與他的兒子》｜小說
5. 《高砂王國》｜口傳文學譯著｜副題：北勢八社天狗部落的祖靈傳說與抗日傳奇</x:v>
      </x:c>
      <x:c r="K15" s="86" t="str">
        <x:v>以部落口傳、古典語彙與現實批判交織，呈現泰雅族主體視角。</x:v>
      </x:c>
      <x:c r="L15" s="86" t="str">
        <x:v>已核對・作品已擴充</x:v>
      </x:c>
      <x:c r="M15" s="86" t="str">
        <x:v>國家文化記憶庫・游霸士・撓給赫（田敏忠）</x:v>
      </x:c>
      <x:c r="N15" s="86" t="str">
        <x:v>https://tcmb.culture.tw/zh-tw/detail?id=292139&amp;indexCode=Culture_People</x:v>
      </x:c>
      <x:c r="O15" s="86" t="str"/>
      <x:c r="P15" s="86" t="str"/>
      <x:c r="Q15" s="86" t="str"/>
      <x:c r="R15" s="86" t="str"/>
    </x:row>
    <x:row r="16" ht="180" customHeight="1">
      <x:c r="A16" s="92" t="n">
        <x:v>15</x:v>
      </x:c>
      <x:c r="B16" s="86" t="str">
        <x:v>小說</x:v>
      </x:c>
      <x:c r="C16" s="86" t="str">
        <x:v>王幼華</x:v>
      </x:c>
      <x:c r="D16" s="86" t="str">
        <x:v>1956—</x:v>
      </x:c>
      <x:c r="E16" s="86" t="str">
        <x:v>筆名王魯、黃克</x:v>
      </x:c>
      <x:c r="F16" s="86" t="str">
        <x:v>生於苗栗頭份，小說家、散文家、評論者與地方文化工作者，曾任國立聯合大學華語文學系教授，並與莫渝合著《苗栗縣文學史》。</x:v>
      </x:c>
      <x:c r="G16" s="86" t="str">
        <x:v>《土地與靈魂》</x:v>
      </x:c>
      <x:c r="H16" s="86" t="str">
        <x:v>其小說創作的重要結集之一；作品經常處理臺灣社會變遷、族群認同與現代人的精神處境。</x:v>
      </x:c>
      <x:c r="I16" s="92" t="n">
        <x:v>9</x:v>
      </x:c>
      <x:c r="J16" s="86" t="str">
        <x:v>1. 《土地與靈魂》｜小說集
2. 《騷動的島》｜小說集
3. 《洪福齊天》｜小說集
4. 《野靈魂－惡筆記》｜小說集
5. 〈兩鎮演談〉｜長篇小說
6. 《當代文學評論》｜評論集
7. 《冰心麗藻入夢來》｜文學研究｜副題：日治時期苗栗縣的詩社
8. 《苗栗縣文學史》｜文學史
9. 《蚌病成珠－古今作家論》｜評論集</x:v>
      </x:c>
      <x:c r="K16" s="86" t="str">
        <x:v>形式實驗與社會批判並重，關注現代文明邊緣、移民經驗與生命原罪。</x:v>
      </x:c>
      <x:c r="L16" s="86" t="str">
        <x:v>已核對・作品已擴充</x:v>
      </x:c>
      <x:c r="M16" s="86" t="str">
        <x:v>國家文化記憶庫・王幼華</x:v>
      </x:c>
      <x:c r="N16" s="86" t="str">
        <x:v>https://tcmb.culture.tw/zh-tw/detail?id=332107&amp;indexCode=Culture_People</x:v>
      </x:c>
      <x:c r="O16" s="86" t="str"/>
      <x:c r="P16" s="86" t="str"/>
      <x:c r="Q16" s="86" t="str"/>
      <x:c r="R16" s="86" t="str"/>
    </x:row>
    <x:row r="17" ht="180" customHeight="1">
      <x:c r="A17" s="92" t="n">
        <x:v>16</x:v>
      </x:c>
      <x:c r="B17" s="86" t="str">
        <x:v>小說</x:v>
      </x:c>
      <x:c r="C17" s="86" t="str">
        <x:v>梁寒衣</x:v>
      </x:c>
      <x:c r="D17" s="86" t="str">
        <x:v>1959—</x:v>
      </x:c>
      <x:c r="E17" s="86" t="str">
        <x:v>小說家、散文家</x:v>
      </x:c>
      <x:c r="F17" s="86" t="str">
        <x:v>苗栗籍作家，臺灣大學外文系畢業，創作涵蓋小說、散文與宗教書寫。公開資料對完整年表記載有限。</x:v>
      </x:c>
      <x:c r="G17" s="86" t="str">
        <x:v>《水仙的炎鏡》</x:v>
      </x:c>
      <x:c r="H17" s="86" t="str">
        <x:v>其重要著作之一；小說常以寓言、黑色童話與內在心象探索人性的可能。</x:v>
      </x:c>
      <x:c r="I17" s="92" t="n">
        <x:v>4</x:v>
      </x:c>
      <x:c r="J17" s="86" t="str">
        <x:v>1. 《水仙的炎鏡》｜小說
2. 《雪色青缽》｜小說／散文
3. 《無涯歌》｜傳記文學｜副題：元曉大師傳
4. 〈黑夜裡不斷抽長的犬齒〉｜中篇小說</x:v>
      </x:c>
      <x:c r="K17" s="86" t="str">
        <x:v>反寫實、寓言化，重視心象、嘲弄與黑色童話氣質。</x:v>
      </x:c>
      <x:c r="L17" s="86" t="str">
        <x:v>已核對・年表待補</x:v>
      </x:c>
      <x:c r="M17" s="86" t="str">
        <x:v>國立臺灣文學館・個人資料</x:v>
      </x:c>
      <x:c r="N17" s="86" t="str">
        <x:v>https://tln.nmtl.gov.tw/ch/m2/nmtl_w1_m2_c_2.aspx?person_number=K12011</x:v>
      </x:c>
      <x:c r="O17" s="86" t="str">
        <x:v>九歌文學誌・梁寒衣</x:v>
      </x:c>
      <x:c r="P17" s="86" t="str">
        <x:v>https://www.chiuko.com.tw/writer/%E6%A2%81%E5%AF%92%E8%A1%A3/</x:v>
      </x:c>
      <x:c r="Q17" s="86" t="str"/>
      <x:c r="R17" s="86" t="str"/>
    </x:row>
    <x:row r="18" ht="180" customHeight="1">
      <x:c r="A18" s="92" t="n">
        <x:v>17</x:v>
      </x:c>
      <x:c r="B18" s="86" t="str">
        <x:v>小說</x:v>
      </x:c>
      <x:c r="C18" s="86" t="str">
        <x:v>甘耀明</x:v>
      </x:c>
      <x:c r="D18" s="86" t="str">
        <x:v>1972—</x:v>
      </x:c>
      <x:c r="E18" s="86" t="str">
        <x:v>苗栗獅潭人</x:v>
      </x:c>
      <x:c r="F18" s="86" t="str">
        <x:v>臺灣小說家，成長於苗栗客庄，曾任小劇場工作者、記者與教師。其創作吸收客家民間傳說、歷史記憶與多族群經驗。</x:v>
      </x:c>
      <x:c r="G18" s="86" t="str">
        <x:v>《殺鬼》</x:v>
      </x:c>
      <x:c r="H18" s="86" t="str">
        <x:v>以日治末期至戰後為背景，讓歷史、傳說、戰爭與少年成長交錯，展現其獨特的魔幻敘事。</x:v>
      </x:c>
      <x:c r="I18" s="92" t="n">
        <x:v>4</x:v>
      </x:c>
      <x:c r="J18" s="86" t="str">
        <x:v>1. 《殺鬼》｜長篇小說
2. 《邦查女孩》｜長篇小說
3. 《冬將軍來的夏天》｜長篇小說
4. 《成為真正的人》｜長篇小說</x:v>
      </x:c>
      <x:c r="K18" s="86" t="str">
        <x:v>融合鄉野傳奇、誇飾、黑色幽默與魔幻寫實，常被歸入新鄉土書寫。</x:v>
      </x:c>
      <x:c r="L18" s="86" t="str">
        <x:v>已核對・作品已擴充</x:v>
      </x:c>
      <x:c r="M18" s="86" t="str">
        <x:v>文化部 Books from Taiwan・甘耀明</x:v>
      </x:c>
      <x:c r="N18" s="86" t="str">
        <x:v>https://booksfromtaiwan.moc.gov.tw/authors_info.php?id=49</x:v>
      </x:c>
      <x:c r="O18" s="86" t="str"/>
      <x:c r="P18" s="86" t="str"/>
      <x:c r="Q18" s="86" t="str"/>
      <x:c r="R18" s="86" t="str"/>
    </x:row>
    <x:row r="19" ht="180" customHeight="1">
      <x:c r="A19" s="92" t="n">
        <x:v>18</x:v>
      </x:c>
      <x:c r="B19" s="86" t="str">
        <x:v>散文</x:v>
      </x:c>
      <x:c r="C19" s="86" t="str">
        <x:v>沉櫻</x:v>
      </x:c>
      <x:c r="D19" s="86" t="str">
        <x:v>1906—1988</x:v>
      </x:c>
      <x:c r="E19" s="86" t="str">
        <x:v>原名陳鍈，亦用小鈴、陳因</x:v>
      </x:c>
      <x:c r="F19" s="86" t="str">
        <x:v>山東濰縣人，作家與翻譯家，上海復旦大學中文系畢業。1948年後來臺，曾居苗栗頭份；創作高峰始於1920至1930年代。名錄作「沈櫻」，依臺灣文學館作「沉櫻」。</x:v>
      </x:c>
      <x:c r="G19" s="86" t="str">
        <x:v>《春的聲音》</x:v>
      </x:c>
      <x:c r="H19" s="86" t="str">
        <x:v>由林海音編輯的散文增補本，呈現其簡約純樸、真摯內斂的散文面貌。</x:v>
      </x:c>
      <x:c r="I19" s="92" t="n">
        <x:v>8</x:v>
      </x:c>
      <x:c r="J19" s="86" t="str">
        <x:v>1. 《春的聲音》｜散文集
2. 《沉櫻散文集》｜散文集
3. 〈回家〉｜短篇小說
4. 〈妻〉｜短篇小說
5. 《一位陌生女子的來信》｜譯作
6. 《女性三部曲》｜譯作
7. 《車輪下》｜譯作
8. 《世界短篇小說選》｜譯作／選集</x:v>
      </x:c>
      <x:c r="K19" s="86" t="str">
        <x:v>語言簡潔、情感真摯，並受俄國與歐洲文學閱讀及翻譯經驗影響。</x:v>
      </x:c>
      <x:c r="L19" s="86" t="str">
        <x:v>已核對・作品已擴充</x:v>
      </x:c>
      <x:c r="M19" s="86" t="str">
        <x:v>國立臺灣文學館・臺灣文學辭典</x:v>
      </x:c>
      <x:c r="N19" s="86" t="str">
        <x:v>https://db.nmtl.gov.tw/site2/dictionary?id=Dictionary01377</x:v>
      </x:c>
      <x:c r="O19" s="86" t="str"/>
      <x:c r="P19" s="86" t="str"/>
      <x:c r="Q19" s="86" t="str"/>
      <x:c r="R19" s="86" t="str"/>
    </x:row>
    <x:row r="20" ht="180" customHeight="1">
      <x:c r="A20" s="92" t="n">
        <x:v>19</x:v>
      </x:c>
      <x:c r="B20" s="86" t="str">
        <x:v>散文</x:v>
      </x:c>
      <x:c r="C20" s="86" t="str">
        <x:v>林海音</x:v>
      </x:c>
      <x:c r="D20" s="86" t="str">
        <x:v>1918—2001</x:v>
      </x:c>
      <x:c r="E20" s="86" t="str">
        <x:v>本名林含英</x:v>
      </x:c>
      <x:c r="F20" s="86" t="str">
        <x:v>生於日本大阪，父親為苗栗頭份人；童年與青年時期主要在北京成長，1948年來臺後成為作家、編輯與出版人，扶植許多臺灣文學創作者。</x:v>
      </x:c>
      <x:c r="G20" s="86" t="str">
        <x:v>《城南舊事》</x:v>
      </x:c>
      <x:c r="H20" s="86" t="str">
        <x:v>以童年視角重構1920年代北京城南的人物與生活，兼具小說連作與回憶敘事特色。</x:v>
      </x:c>
      <x:c r="I20" s="92" t="n">
        <x:v>12</x:v>
      </x:c>
      <x:c r="J20" s="86" t="str">
        <x:v>1. 《曉雲》｜小說
2. 《城南舊事》｜小說
3. 《金鯉魚的百襉裙》｜小說集
4. 《婚姻的故事》｜小說
5. 《綠藻與鹹蛋》｜散文集
6. 《冬青樹》｜小說集
7. 《我的京味兒回憶錄》｜回憶錄
8. 《寫在風中》｜散文集
9. 《剪影話文壇》｜文壇回憶
10. 《作客美國》｜散文
11. 《春聲已遠》｜散文
12. 《芸窗夜讀》｜文學評論／散文</x:v>
      </x:c>
      <x:c r="K20" s="86" t="str">
        <x:v>以平易節制的語言寫童年、女性與離散記憶，溫厚中保有對人物命運的敏銳觀察。</x:v>
      </x:c>
      <x:c r="L20" s="86" t="str">
        <x:v>已核對・作品已擴充</x:v>
      </x:c>
      <x:c r="M20" s="86" t="str">
        <x:v>國立臺灣文學館・林海音主題館</x:v>
      </x:c>
      <x:c r="N20" s="86" t="str">
        <x:v>https://lin.nmtl.gov.tw/archive?uid=3</x:v>
      </x:c>
      <x:c r="O20" s="86" t="str">
        <x:v>臺灣作家作品目錄・城南舊事</x:v>
      </x:c>
      <x:c r="P20" s="86" t="str">
        <x:v>https://db.nmtl.gov.tw/site4/s6/bookinfo?id=9165</x:v>
      </x:c>
      <x:c r="Q20" s="86" t="str"/>
      <x:c r="R20" s="86" t="str"/>
    </x:row>
    <x:row r="21" ht="180" customHeight="1">
      <x:c r="A21" s="92" t="n">
        <x:v>20</x:v>
      </x:c>
      <x:c r="B21" s="86" t="str">
        <x:v>散文</x:v>
      </x:c>
      <x:c r="C21" s="86" t="str">
        <x:v>江上</x:v>
      </x:c>
      <x:c r="D21" s="86" t="str">
        <x:v>1932—</x:v>
      </x:c>
      <x:c r="E21" s="86" t="str">
        <x:v>本名江文雙</x:v>
      </x:c>
      <x:c r="F21" s="86" t="str">
        <x:v>本名江文雙，苗栗籍戰後作家，創作以小說為主，兼及散文、兒童文學與日文翻譯。作品以樸實筆觸書寫帶有濃厚鄉土味的小人物，並記錄不易被看見的社會切面。</x:v>
      </x:c>
      <x:c r="G21" s="86" t="str">
        <x:v>《落葉集》</x:v>
      </x:c>
      <x:c r="H21" s="86" t="str">
        <x:v>其小說代表作之一；另有《田園戀》、《下弦月》、《霧夜》及三冊《江上小說集》。</x:v>
      </x:c>
      <x:c r="I21" s="92" t="n">
        <x:v>11</x:v>
      </x:c>
      <x:c r="J21" s="86" t="str">
        <x:v>1. 《流血樹》｜合著小說集
2. 《落葉集》｜小說集
3. 《下弦月》｜小說
4. 《田園戀》｜小說
5. 《生命的甘泉》｜小說
6. 《明月照東山》｜小說
7. 《幸福之歌》｜作品集｜以筆名文玨出版
8. 《霧夜》｜小說
9. 《江上小說集（一）》｜小說集
10. 《江上小說集（二）》｜小說集
11. 《江上小說集（三）》｜小說集</x:v>
      </x:c>
      <x:c r="K21" s="86" t="str">
        <x:v>樸實、直率的寫實筆法，關注鄉土小人物與戰後社會變動，不刻意粉飾生活困境。</x:v>
      </x:c>
      <x:c r="L21" s="86" t="str">
        <x:v>已核對・作品已擴充</x:v>
      </x:c>
      <x:c r="M21" s="86" t="str">
        <x:v>國家文化記憶庫・江上</x:v>
      </x:c>
      <x:c r="N21" s="86" t="str">
        <x:v>https://tcmb.culture.tw/zh-tw/detail?id=332115&amp;indexCode=Culture_People</x:v>
      </x:c>
      <x:c r="O21" s="86" t="str">
        <x:v>國立臺灣文學館・作家作品目錄</x:v>
      </x:c>
      <x:c r="P21" s="86" t="str">
        <x:v>https://db.nmtl.gov.tw/site4/s6/writerinfo?id=333</x:v>
      </x:c>
      <x:c r="Q21" s="86" t="str">
        <x:v>國家圖書館・江上小說研究書目</x:v>
      </x:c>
      <x:c r="R21" s="86" t="str">
        <x:v>https://ndltd.ncl.edu.tw/cgi-bin/gs32/gsweb.cgi?o=dnclcdr&amp;s=id%3D%22094PCCU1045004%22.&amp;searchmode=basic</x:v>
      </x:c>
    </x:row>
    <x:row r="22" ht="180" customHeight="1">
      <x:c r="A22" s="92" t="n">
        <x:v>21</x:v>
      </x:c>
      <x:c r="B22" s="86" t="str">
        <x:v>散文</x:v>
      </x:c>
      <x:c r="C22" s="86" t="str">
        <x:v>謝霜天</x:v>
      </x:c>
      <x:c r="D22" s="86" t="str">
        <x:v>1943—</x:v>
      </x:c>
      <x:c r="E22" s="86" t="str">
        <x:v>本名謝文玖</x:v>
      </x:c>
      <x:c r="F22" s="86" t="str">
        <x:v>生於苗栗銅鑼，散文與小說作家。早期出版散文集《綠樹》，後續持續書寫鄉土、人生與女性經驗。</x:v>
      </x:c>
      <x:c r="G22" s="86" t="str">
        <x:v>《梅村心曲》</x:v>
      </x:c>
      <x:c r="H22" s="86" t="str">
        <x:v>以77個短篇組成長篇，透過春晨、秋暮、冬夜三個單元呈現節氣流轉、歷史滄桑與人生曲折。</x:v>
      </x:c>
      <x:c r="I22" s="92" t="n">
        <x:v>9</x:v>
      </x:c>
      <x:c r="J22" s="86" t="str">
        <x:v>1. 《梅村心曲》｜長篇小說
2. 《綠樹》｜散文集
3. 《心畫》｜作品集
4. 《渡》｜作品集
5. 《霜天小品》｜散文集
6. 《夢回呼蘭河》｜傳記小說｜副題：蕭紅傳
7. 《清泉淌過我心田》｜作品集
8. 《火籠懷舊情綿綿》｜作品集
9. 《重回牛背山畔》｜作品集</x:v>
      </x:c>
      <x:c r="K22" s="86" t="str">
        <x:v>文字靈巧真摯，從鄉土景物、女性處境與人生感懷出發。</x:v>
      </x:c>
      <x:c r="L22" s="86" t="str">
        <x:v>已核對・作品已擴充</x:v>
      </x:c>
      <x:c r="M22" s="86" t="str">
        <x:v>客家委員會・客家作家研究資料</x:v>
      </x:c>
      <x:c r="N22" s="86" t="str">
        <x:v>https://www.hakka.gov.tw/File/Attach/38283/File_71715.pdf</x:v>
      </x:c>
      <x:c r="O22" s="86" t="str"/>
      <x:c r="P22" s="86" t="str"/>
      <x:c r="Q22" s="86" t="str"/>
      <x:c r="R22" s="86" t="str"/>
    </x:row>
    <x:row r="23" ht="180" customHeight="1">
      <x:c r="A23" s="92" t="n">
        <x:v>22</x:v>
      </x:c>
      <x:c r="B23" s="86" t="str">
        <x:v>散文</x:v>
      </x:c>
      <x:c r="C23" s="86" t="str">
        <x:v>陳朝棟</x:v>
      </x:c>
      <x:c r="D23" s="86" t="str">
        <x:v>1948—2009</x:v>
      </x:c>
      <x:c r="E23" s="86" t="str">
        <x:v>筆名寒楓</x:v>
      </x:c>
      <x:c r="F23" s="86" t="str">
        <x:v>生於苗栗後龍，鄉土作家與文史工作者。任職商界後返鄉從事記者與編輯工作，長期記錄後龍地方史、產業與生活文化。</x:v>
      </x:c>
      <x:c r="G23" s="86" t="str">
        <x:v>《小鎮情深》</x:v>
      </x:c>
      <x:c r="H23" s="86" t="str">
        <x:v>以後龍地方生活與文史為核心的作品；另有《家鄉豐年》、《永遠的牛聲》、《這村晨春景》等可查著作。</x:v>
      </x:c>
      <x:c r="I23" s="92" t="n">
        <x:v>5</x:v>
      </x:c>
      <x:c r="J23" s="86" t="str">
        <x:v>1. 《小鎮情深》｜地方文史
2. 《家鄉豐年》｜地方文史
3. 《永遠的牛聲》｜地方書寫
4. 《這村晨春景》｜地方書寫
5. 〈後龍鄉土情懷〉｜報導／地方書寫</x:v>
      </x:c>
      <x:c r="K23" s="86" t="str">
        <x:v>報導與散文筆法交融，重視田野調查、老照片與口述記憶。</x:v>
      </x:c>
      <x:c r="L23" s="86" t="str">
        <x:v>已核對・作品已擴充</x:v>
      </x:c>
      <x:c r="M23" s="86" t="str">
        <x:v>國家文化記憶庫・陳朝棟</x:v>
      </x:c>
      <x:c r="N23" s="86" t="str">
        <x:v>https://tcmb.culture.tw/zh-tw/detail?id=333112&amp;indexCode=Culture_People</x:v>
      </x:c>
      <x:c r="O23" s="86" t="str"/>
      <x:c r="P23" s="86" t="str"/>
      <x:c r="Q23" s="86" t="str"/>
      <x:c r="R23" s="86" t="str"/>
    </x:row>
    <x:row r="24" ht="180" customHeight="1">
      <x:c r="A24" s="92" t="n">
        <x:v>23</x:v>
      </x:c>
      <x:c r="B24" s="86" t="str">
        <x:v>散文</x:v>
      </x:c>
      <x:c r="C24" s="86" t="str">
        <x:v>陌上塵</x:v>
      </x:c>
      <x:c r="D24" s="86" t="str">
        <x:v>1952—</x:v>
      </x:c>
      <x:c r="E24" s="86" t="str">
        <x:v>本名劉振權</x:v>
      </x:c>
      <x:c r="F24" s="86" t="str">
        <x:v>苗栗人，16歲起進入造船產業，早年寫詩與散文，1979年後集中創作小說。其親身工廠經驗使作品成為臺灣工人文學的重要聲音。</x:v>
      </x:c>
      <x:c r="G24" s="86" t="str">
        <x:v>《長夜漫漫》</x:v>
      </x:c>
      <x:c r="H24" s="86" t="str">
        <x:v>以藍領勞動者的工作、家庭與社會處境為核心，呈現工業化背後的黑暗與無奈。</x:v>
      </x:c>
      <x:c r="I24" s="92" t="n">
        <x:v>10</x:v>
      </x:c>
      <x:c r="J24" s="86" t="str">
        <x:v>1. 《玉香集》｜合集
2. 《思想起》｜作品集
3. 《夢魘九十九》｜小說
4. 《長夜漫漫》｜小說
5. 《造船廠手記》｜勞工文學
6. 《故鄉，永遠的懷念》｜作品集
7. 《綁架連戰》｜小說
8. 《出局》｜小說
9. 《菊姊》｜小說
10. 《山城物語》｜小說</x:v>
      </x:c>
      <x:c r="K24" s="86" t="str">
        <x:v>直接、寫實，從工人內部視角書寫勞動尊嚴、階級與社會矛盾。</x:v>
      </x:c>
      <x:c r="L24" s="86" t="str">
        <x:v>已核對・作品已擴充</x:v>
      </x:c>
      <x:c r="M24" s="86" t="str">
        <x:v>高雄文學館・陌上塵</x:v>
      </x:c>
      <x:c r="N24" s="86" t="str">
        <x:v>https://ksliterary.ksml.edu.tw/author/Details?Parser=99%2C3%2C22%2C%2C%2C%2C132</x:v>
      </x:c>
      <x:c r="O24" s="86" t="str"/>
      <x:c r="P24" s="86" t="str"/>
      <x:c r="Q24" s="86" t="str"/>
      <x:c r="R24" s="86" t="str"/>
    </x:row>
    <x:row r="25" ht="180" customHeight="1">
      <x:c r="A25" s="92" t="n">
        <x:v>24</x:v>
      </x:c>
      <x:c r="B25" s="86" t="str">
        <x:v>新詩</x:v>
      </x:c>
      <x:c r="C25" s="86" t="str">
        <x:v>詹冰</x:v>
      </x:c>
      <x:c r="D25" s="86" t="str">
        <x:v>1921—2004</x:v>
      </x:c>
      <x:c r="E25" s="86" t="str">
        <x:v>苗栗卓蘭人</x:v>
      </x:c>
      <x:c r="F25" s="86" t="str">
        <x:v>臺灣跨越語言一代的重要詩人，曾赴日本學藥，戰後參與銀鈴會並為笠詩社創辦人之一。創作涵蓋現代詩、童詩、圖像詩、散文與戲劇。</x:v>
      </x:c>
      <x:c r="G25" s="86" t="str">
        <x:v>《綠血球》</x:v>
      </x:c>
      <x:c r="H25" s="86" t="str">
        <x:v>代表性詩集之一，展現其把藥學、自然觀察與現代詩實驗結合的特色。</x:v>
      </x:c>
      <x:c r="I25" s="92" t="n">
        <x:v>4</x:v>
      </x:c>
      <x:c r="J25" s="86" t="str">
        <x:v>1. 《綠血球》｜詩集
2. 〈插秧〉｜現代詩
3. 《牛郎織女》｜長詩／詩劇
4. 《詹冰全集》｜全集</x:v>
      </x:c>
      <x:c r="K25" s="86" t="str">
        <x:v>現代主義、科學意象與童心並存，擅長圖像詩、短詩與活潑的形式實驗。</x:v>
      </x:c>
      <x:c r="L25" s="86" t="str">
        <x:v>已核對・作品已擴充</x:v>
      </x:c>
      <x:c r="M25" s="86" t="str">
        <x:v>國立臺灣文學館・《詹冰集》</x:v>
      </x:c>
      <x:c r="N25" s="86" t="str">
        <x:v>https://www.nmtl.gov.tw/News_Content_Book.aspx?n=3852&amp;s=138451</x:v>
      </x:c>
      <x:c r="O25" s="86" t="str">
        <x:v>政府出版品・《詹冰全集》</x:v>
      </x:c>
      <x:c r="P25" s="86" t="str">
        <x:v>https://gpi.culture.tw/books/1011400519</x:v>
      </x:c>
      <x:c r="Q25" s="86" t="str"/>
      <x:c r="R25" s="86" t="str"/>
    </x:row>
    <x:row r="26" ht="180" customHeight="1">
      <x:c r="A26" s="92" t="n">
        <x:v>25</x:v>
      </x:c>
      <x:c r="B26" s="86" t="str">
        <x:v>新詩</x:v>
      </x:c>
      <x:c r="C26" s="86" t="str">
        <x:v>羅浪</x:v>
      </x:c>
      <x:c r="D26" s="86" t="str">
        <x:v>1927—2015</x:v>
      </x:c>
      <x:c r="E26" s="86" t="str">
        <x:v>本名羅洁泙</x:v>
      </x:c>
      <x:c r="F26" s="86" t="str">
        <x:v>生於苗栗市，詩人兼日文翻譯者。名錄未列卒年，依國立臺灣文學館年鑑補為2015年。</x:v>
      </x:c>
      <x:c r="G26" s="86" t="str">
        <x:v>《羅浪詩文集》</x:v>
      </x:c>
      <x:c r="H26" s="86" t="str">
        <x:v>由苗栗縣文化局出版，整理其詩文創作，作品多為故鄉山川與人生樣貌留下心靈投影。</x:v>
      </x:c>
      <x:c r="I26" s="92" t="n">
        <x:v>1</x:v>
      </x:c>
      <x:c r="J26" s="86" t="str">
        <x:v>1. 《羅浪詩文集》｜詩文集｜收中文詩53首、日文詩36首、散文2篇、日譯詩9首、詩論2篇及畫作20幅</x:v>
      </x:c>
      <x:c r="K26" s="86" t="str">
        <x:v>抒情而內斂，聚焦故鄉地景、日常感受與人生回聲。</x:v>
      </x:c>
      <x:c r="L26" s="86" t="str">
        <x:v>已核對・作品已擴充</x:v>
      </x:c>
      <x:c r="M26" s="86" t="str">
        <x:v>國立臺灣文學館・2015臺灣文學年鑑</x:v>
      </x:c>
      <x:c r="N26" s="86" t="str">
        <x:v>https://activityfile.nmtl.gov.tw/nmtlhistory/almanac/almanacContent/People/Volume_2015/C2016123015188189FO.pdf</x:v>
      </x:c>
      <x:c r="O26" s="86" t="str">
        <x:v>政府出版品・羅浪詩文集</x:v>
      </x:c>
      <x:c r="P26" s="86" t="str">
        <x:v>https://gpi.culture.tw/books/1009103299</x:v>
      </x:c>
      <x:c r="Q26" s="86" t="str"/>
      <x:c r="R26" s="86" t="str"/>
    </x:row>
    <x:row r="27" ht="180" customHeight="1">
      <x:c r="A27" s="92" t="n">
        <x:v>26</x:v>
      </x:c>
      <x:c r="B27" s="86" t="str">
        <x:v>新詩</x:v>
      </x:c>
      <x:c r="C27" s="86" t="str">
        <x:v>莫渝</x:v>
      </x:c>
      <x:c r="D27" s="86" t="str">
        <x:v>1948—</x:v>
      </x:c>
      <x:c r="E27" s="86" t="str">
        <x:v>本名林良雅</x:v>
      </x:c>
      <x:c r="F27" s="86" t="str">
        <x:v>生於苗栗竹南，詩人、翻譯家與評論者。1960年代開始寫詩，後長期翻譯法國及第三世界文學，1990年代起投入臺灣與苗栗地方文學研究。</x:v>
      </x:c>
      <x:c r="G27" s="86" t="str">
        <x:v>《土地的戀歌》</x:v>
      </x:c>
      <x:c r="H27" s="86" t="str">
        <x:v>以土地、現實與人道關懷為核心的代表詩集；另有《無語的春天》、《長城》等。</x:v>
      </x:c>
      <x:c r="I27" s="92" t="n">
        <x:v>15</x:v>
      </x:c>
      <x:c r="J27" s="86" t="str">
        <x:v>1. 《無語的春天》｜詩集
2. 《長城》｜詩集
3. 《土地的戀歌》｜詩集
4. 《浮雲集》｜詩集
5. 《水鏡》｜詩集
6. 《猶里西斯手記》｜詩集
7. 《第一道曙光》｜詩集
8. 《革命軍》｜詩集
9. 《走入春雨》｜詩集
10. 《陽光與暗影》｜詩集
11. 《春天ê百合》｜臺語詩集
12. 《光之穹頂》｜臺語詩集
13. 《臺灣詩人群像》｜評論
14. 《笠詩社演進史》｜文學史
15. 《苗栗縣文學史》｜地方文學史</x:v>
      </x:c>
      <x:c r="K27" s="86" t="str">
        <x:v>現實主義與人文關懷鮮明，追求詩的批判力與感動力。</x:v>
      </x:c>
      <x:c r="L27" s="86" t="str">
        <x:v>已核對・作品已擴充</x:v>
      </x:c>
      <x:c r="M27" s="86" t="str">
        <x:v>國家文化記憶庫・莫渝</x:v>
      </x:c>
      <x:c r="N27" s="86" t="str">
        <x:v>https://tcmb.culture.tw/zh-tw/detail?id=333321&amp;indexCode=Culture_People</x:v>
      </x:c>
      <x:c r="O27" s="86" t="str"/>
      <x:c r="P27" s="86" t="str"/>
      <x:c r="Q27" s="86" t="str"/>
      <x:c r="R27" s="86" t="str"/>
    </x:row>
    <x:row r="28" ht="180" customHeight="1">
      <x:c r="A28" s="92" t="n">
        <x:v>27</x:v>
      </x:c>
      <x:c r="B28" s="86" t="str">
        <x:v>新詩</x:v>
      </x:c>
      <x:c r="C28" s="86" t="str">
        <x:v>劉毓秀</x:v>
      </x:c>
      <x:c r="D28" s="86" t="str">
        <x:v>1954—</x:v>
      </x:c>
      <x:c r="E28" s="86" t="str">
        <x:v>學者、詩人與婦運工作者</x:v>
      </x:c>
      <x:c r="F28" s="86" t="str">
        <x:v>成長於苗栗頭份客庄，曾任臺灣大學外文系教授，長期參與女性主義研究與婦女運動；1980年代中期起在詩刊與報紙副刊發表詩作。</x:v>
      </x:c>
      <x:c r="G28" s="86" t="str">
        <x:v>〈寫東海歲末九芎／在一隻斑鳩的咕嚕聲中〉</x:v>
      </x:c>
      <x:c r="H28" s="86" t="str">
        <x:v>公開學術資料庫收錄的詩作之一；其詩作散見詩刊、年度詩選與副刊，尚缺完整個人詩集書目。</x:v>
      </x:c>
      <x:c r="I28" s="92" t="n">
        <x:v>3</x:v>
      </x:c>
      <x:c r="J28" s="86" t="str">
        <x:v>1. 〈寫東海歲末九芎／在一隻斑鳩的咕嚕聲中〉｜現代詩｜刊於《中外文學》24卷12期，1996
2. 《臺灣婦女處境白皮書：1995年》｜主編／女性研究
3. 《女性・國家・照顧工作》｜主編／女性研究</x:v>
      </x:c>
      <x:c r="K28" s="86" t="str">
        <x:v>把女性經驗、知識反思與社會批判帶入現代詩。</x:v>
      </x:c>
      <x:c r="L28" s="86" t="str">
        <x:v>史料待補強</x:v>
      </x:c>
      <x:c r="M28" s="86" t="str">
        <x:v>國立臺灣歷史博物館・臺灣女人</x:v>
      </x:c>
      <x:c r="N28" s="86" t="str">
        <x:v>https://women.nmth.gov.tw/?p=19321</x:v>
      </x:c>
      <x:c r="O28" s="86" t="str">
        <x:v>臺大學術典藏・詩作資料</x:v>
      </x:c>
      <x:c r="P28" s="86" t="str">
        <x:v>https://scholars.lib.ntu.edu.tw/entities/publication/2efbf480-c50e-4310-a7f0-1bf918eea92b</x:v>
      </x:c>
      <x:c r="Q28" s="86" t="str"/>
      <x:c r="R28" s="86" t="str"/>
    </x:row>
    <x:row r="29" ht="180" customHeight="1">
      <x:c r="A29" s="92" t="n">
        <x:v>28</x:v>
      </x:c>
      <x:c r="B29" s="86" t="str">
        <x:v>新詩</x:v>
      </x:c>
      <x:c r="C29" s="86" t="str">
        <x:v>黃恆秋</x:v>
      </x:c>
      <x:c r="D29" s="86" t="str">
        <x:v>1957—</x:v>
      </x:c>
      <x:c r="E29" s="86" t="str">
        <x:v>本名黃子堯</x:v>
      </x:c>
      <x:c r="F29" s="86" t="str">
        <x:v>苗栗銅鑼人，客家詩人與評論者。曾參與笠詩社、創組蕃薯詩社並推動客家文學，亦從事文史、出版與廣播工作。</x:v>
      </x:c>
      <x:c r="G29" s="86" t="str">
        <x:v>《擔竿人生》</x:v>
      </x:c>
      <x:c r="H29" s="86" t="str">
        <x:v>1990年出版，被視為臺灣第一本客語現代詩集，在客語文學史上具有指標性。</x:v>
      </x:c>
      <x:c r="I29" s="92" t="n">
        <x:v>6</x:v>
      </x:c>
      <x:c r="J29" s="86" t="str">
        <x:v>1. 《擔竿人生》｜客語詩集
2. 《見笑花》｜客語詩集
3. 《葫蘆的心事》｜作品集
4. 《我是鸚鵡》｜作品集
5. 《客家臺灣文學論》｜文學論述
6. 《臺灣客家文學史概論》｜文學史</x:v>
      </x:c>
      <x:c r="K29" s="86" t="str">
        <x:v>以客語、土地與族群經驗為核心，結合現代詩形式與社會文化評論。</x:v>
      </x:c>
      <x:c r="L29" s="86" t="str">
        <x:v>已核對・作品已擴充</x:v>
      </x:c>
      <x:c r="M29" s="86" t="str">
        <x:v>國家文化記憶庫・黃恆秋</x:v>
      </x:c>
      <x:c r="N29" s="86" t="str">
        <x:v>https://tcmb.culture.tw/zh-tw/detail?id=333113&amp;indexCode=Culture_People</x:v>
      </x:c>
      <x:c r="O29" s="86" t="str"/>
      <x:c r="P29" s="86" t="str"/>
      <x:c r="Q29" s="86" t="str"/>
      <x:c r="R29" s="86" t="str"/>
    </x:row>
    <x:row r="30" ht="180" customHeight="1">
      <x:c r="A30" s="92" t="n">
        <x:v>29</x:v>
      </x:c>
      <x:c r="B30" s="86" t="str">
        <x:v>新詩</x:v>
      </x:c>
      <x:c r="C30" s="86" t="str">
        <x:v>路寒袖</x:v>
      </x:c>
      <x:c r="D30" s="86" t="str">
        <x:v>1958—</x:v>
      </x:c>
      <x:c r="E30" s="86" t="str">
        <x:v>本名王志誠</x:v>
      </x:c>
      <x:c r="F30" s="86" t="str">
        <x:v>生於苗栗苑裡，後成長於臺中大甲。詩人、歌詞作者與文化工作者，創作涵蓋華語詩、臺語詩、散文、攝影及歌詞。</x:v>
      </x:c>
      <x:c r="G30" s="86" t="str">
        <x:v>《我的父親是火車司機》</x:v>
      </x:c>
      <x:c r="H30" s="86" t="str">
        <x:v>以傳記式序列整理二十年詩作，從親情、童年、愛情到土地，呈現詩人生命軌跡。</x:v>
      </x:c>
      <x:c r="I30" s="92" t="n">
        <x:v>10</x:v>
      </x:c>
      <x:c r="J30" s="86" t="str">
        <x:v>1. 《早，寒》｜詩集
2. 《夢的攝影機》｜詩集
3. 《我的父親是火車司機》｜詩集
4. 《春天的花蕊》｜臺語詩集
5. 《路寒袖台語詩選》｜詩選
6. 《憂鬱三千公尺》｜散文集
7. 〈戲夢人生〉｜歌詞
8. 〈畫眉〉｜歌詞
9. 〈往事如影〉｜歌詞
10. 《像母親一樣的河》｜繪本</x:v>
      </x:c>
      <x:c r="K30" s="86" t="str">
        <x:v>抒情而具音樂性，將古典涵養、日常生活與臺語歌詩傳統相連。</x:v>
      </x:c>
      <x:c r="L30" s="86" t="str">
        <x:v>已核對・作品已擴充</x:v>
      </x:c>
      <x:c r="M30" s="86" t="str">
        <x:v>文化部・臺灣文化入口網</x:v>
      </x:c>
      <x:c r="N30" s="86" t="str">
        <x:v>https://www.moc.gov.tw/en/News_Content2.aspx?n=491&amp;s=17991&amp;sms=10725</x:v>
      </x:c>
      <x:c r="O30" s="86" t="str">
        <x:v>東吳大學・路寒袖資料</x:v>
      </x:c>
      <x:c r="P30" s="86" t="str">
        <x:v>https://www.scu.edu.tw/chinese/art/literature/new_page_01.htm</x:v>
      </x:c>
      <x:c r="Q30" s="86" t="str"/>
      <x:c r="R30" s="86" t="str"/>
    </x:row>
    <x:row r="31" ht="180" customHeight="1">
      <x:c r="A31" s="92" t="n">
        <x:v>30</x:v>
      </x:c>
      <x:c r="B31" s="86" t="str">
        <x:v>新詩</x:v>
      </x:c>
      <x:c r="C31" s="86" t="str">
        <x:v>李渡愁</x:v>
      </x:c>
      <x:c r="D31" s="86" t="str">
        <x:v>1959—</x:v>
      </x:c>
      <x:c r="E31" s="86" t="str">
        <x:v>本名郭賢作</x:v>
      </x:c>
      <x:c r="F31" s="86" t="str">
        <x:v>苗栗籍現代詩人，曾參與詩刊活動。公開網路資料較少，國立臺灣文學館藏有其手稿並確認本名為郭賢作。</x:v>
      </x:c>
      <x:c r="G31" s="86" t="str">
        <x:v>〈旅次〉</x:v>
      </x:c>
      <x:c r="H31" s="86" t="str">
        <x:v>1987年成稿、刊於《大海洋詩刊》，以鄉愁、玫瑰、曙光與繁星等意象展現孤寂與追尋自由的精神歷程。</x:v>
      </x:c>
      <x:c r="I31" s="92" t="n">
        <x:v>1</x:v>
      </x:c>
      <x:c r="J31" s="86" t="str">
        <x:v>1. 〈旅次〉｜現代詩｜1987年成稿，後刊於《大海洋詩刊》第30期；館藏手稿可查</x:v>
      </x:c>
      <x:c r="K31" s="86" t="str">
        <x:v>偏重文化鄉愁、象徵意象與內在精神辯證。</x:v>
      </x:c>
      <x:c r="L31" s="86" t="str">
        <x:v>史料待補強</x:v>
      </x:c>
      <x:c r="M31" s="86" t="str">
        <x:v>國立臺灣文學館藏品・〈旅次〉手稿</x:v>
      </x:c>
      <x:c r="N31" s="86" t="str">
        <x:v>https://collections.culture.tw/nmtl_collectionsweb/GalData.aspx?GID=MGM8MYMSMXMD</x:v>
      </x:c>
      <x:c r="O31" s="86" t="str"/>
      <x:c r="P31" s="86" t="str"/>
      <x:c r="Q31" s="86" t="str"/>
      <x:c r="R31" s="86" t="str"/>
    </x:row>
    <x:row r="32" ht="180" customHeight="1">
      <x:c r="A32" s="92" t="n">
        <x:v>31</x:v>
      </x:c>
      <x:c r="B32" s="86" t="str">
        <x:v>新詩</x:v>
      </x:c>
      <x:c r="C32" s="86" t="str">
        <x:v>邱一帆</x:v>
      </x:c>
      <x:c r="D32" s="86" t="str">
        <x:v>1971—</x:v>
      </x:c>
      <x:c r="E32" s="86" t="str">
        <x:v>客語詩人、教師</x:v>
      </x:c>
      <x:c r="F32" s="86" t="str">
        <x:v>苗栗南庄人，長期任教並投入客語教育與客語詩歌創作，以現代詩為主，也有客語散文、小說與研究論著。</x:v>
      </x:c>
      <x:c r="G32" s="86" t="str">
        <x:v>《油桐花下个思念》</x:v>
      </x:c>
      <x:c r="H32" s="86" t="str">
        <x:v>以客語書寫南庄、親情與土地記憶，是其持續建立客語現代詩表達的重要作品。</x:v>
      </x:c>
      <x:c r="I32" s="92" t="n">
        <x:v>9</x:v>
      </x:c>
      <x:c r="J32" s="86" t="str">
        <x:v>1. 《有影》｜客語詩集｜與龔萬灶合著
2. 《田螺》｜客語詩集
3. 《油桐花下个思念》｜客語詩集
4. 《長流水》｜客語散文集
5. 《靈魂个故鄉》｜客語詩歌文集
6. 《族群、語言、文學》｜論文集｜副題：客語詩歌文學論集
7. 《詩人、語言、詩歌》｜文學研究｜副題：客籍作家吳濁流的詩歌表現
8. 〈雕籠仔〉｜客語小說
9. 〈好望角〉｜客語詩</x:v>
      </x:c>
      <x:c r="K32" s="86" t="str">
        <x:v>堅持客語書寫，語言親近生活，強調土地、母語與族群情感。</x:v>
      </x:c>
      <x:c r="L32" s="86" t="str">
        <x:v>已核對・作品已擴充</x:v>
      </x:c>
      <x:c r="M32" s="86" t="str">
        <x:v>國立臺灣文學館・本土母語文學</x:v>
      </x:c>
      <x:c r="N32" s="86" t="str">
        <x:v>https://twml.nmtl.gov.tw/archive?uid=19</x:v>
      </x:c>
      <x:c r="O32" s="86" t="str">
        <x:v>客家電視・詩人專訪</x:v>
      </x:c>
      <x:c r="P32" s="86" t="str">
        <x:v>https://www.youtube.com/watch?v=6NNIkTECXOY</x:v>
      </x:c>
      <x:c r="Q32" s="86" t="str"/>
      <x:c r="R32" s="86" t="str"/>
    </x:row>
    <x:row r="33" ht="180" customHeight="1">
      <x:c r="A33" s="92" t="n">
        <x:v>32</x:v>
      </x:c>
      <x:c r="B33" s="86" t="str">
        <x:v>新詩</x:v>
      </x:c>
      <x:c r="C33" s="86" t="str">
        <x:v>解昆樺</x:v>
      </x:c>
      <x:c r="D33" s="86" t="str">
        <x:v>1977—</x:v>
      </x:c>
      <x:c r="E33" s="86" t="str">
        <x:v>詩人、學者與影像創作者</x:v>
      </x:c>
      <x:c r="F33" s="86" t="str">
        <x:v>籍貫苗栗，生於臺北，從事現代詩、小說、散文、劇本與文學研究，研究專長包含臺灣現代詩史與詩社。</x:v>
      </x:c>
      <x:c r="G33" s="86" t="str">
        <x:v>《寵你的靈魂》</x:v>
      </x:c>
      <x:c r="H33" s="86" t="str">
        <x:v>累積二十餘年創作後出版的第一部個人詩集，收錄七十首作品；《合奏版圖》則為其較早期的詩歌創作計畫。</x:v>
      </x:c>
      <x:c r="I33" s="92" t="n">
        <x:v>8</x:v>
      </x:c>
      <x:c r="J33" s="86" t="str">
        <x:v>1. 《寵你的靈魂》｜詩集｜首部個人詩集，收70首
2. 〈瓷碎〉｜現代詩
3. 《合奏版圖》｜詩歌創作計畫
4. 《詩史本事》｜文學研究
5. 《臺灣現代詩典律的建構與推移》｜文學研究
6. 《詩不安》｜文學研究
7. 《青春構詩》｜文學研究
8. 《謬斯胎骨》｜文學研究｜副題：臺灣現代詩手稿學</x:v>
      </x:c>
      <x:c r="K33" s="86" t="str">
        <x:v>知性與意象並進，經常處理歷史記憶、文化符號及跨媒介表達。</x:v>
      </x:c>
      <x:c r="L33" s="86" t="str">
        <x:v>已核對・作品已擴充</x:v>
      </x:c>
      <x:c r="M33" s="86" t="str">
        <x:v>國立臺灣文學館・解昆樺個人資料</x:v>
      </x:c>
      <x:c r="N33" s="86" t="str">
        <x:v>https://tln.nmtl.gov.tw/ch/m2/nmtl_w1_m2_c_7.aspx?id=5663&amp;k=</x:v>
      </x:c>
      <x:c r="O33" s="86" t="str">
        <x:v>國家文化記憶庫・〈瓷碎〉</x:v>
      </x:c>
      <x:c r="P33" s="86" t="str">
        <x:v>https://tcmb.culture.tw/zh-tw/detail?id=659995&amp;indexCode=Culture_Object</x:v>
      </x:c>
      <x:c r="Q33" s="86" t="str">
        <x:v>國藝會・《寵你的靈魂》出版計畫</x:v>
      </x:c>
      <x:c r="R33" s="86" t="str">
        <x:v>https://www.ncafroc.org.tw/files/news/20200415/923dfee6361b46668b5ef2b5c1dffc0c/923dfee6361b46668b5ef2b5c1dffc0c.pdf</x:v>
      </x:c>
    </x:row>
    <x:row r="34" ht="180" customHeight="1">
      <x:c r="A34" s="92" t="n">
        <x:v>33</x:v>
      </x:c>
      <x:c r="B34" s="86" t="str">
        <x:v>劇作</x:v>
      </x:c>
      <x:c r="C34" s="86" t="str">
        <x:v>鍾喬</x:v>
      </x:c>
      <x:c r="D34" s="86" t="str">
        <x:v>1956—</x:v>
      </x:c>
      <x:c r="E34" s="86" t="str">
        <x:v>本名鍾政瑩</x:v>
      </x:c>
      <x:c r="F34" s="86" t="str">
        <x:v>苗栗三義出身的詩人、報導文學作家與劇場工作者，長期推動民眾劇場，關注農村、勞動、政治暴力與亞洲第三世界處境。</x:v>
      </x:c>
      <x:c r="G34" s="86" t="str">
        <x:v>《觀眾，請站起來》</x:v>
      </x:c>
      <x:c r="H34" s="86" t="str">
        <x:v>其重要劇本之一，透過劇場打破舞臺與觀眾界線，實踐社會介入與公共對話。</x:v>
      </x:c>
      <x:c r="I34" s="92" t="n">
        <x:v>11</x:v>
      </x:c>
      <x:c r="J34" s="86" t="str">
        <x:v>1. 《觀眾，請站起來》｜劇作／劇場論述
2. 《亞洲的吶喊：民眾劇場》｜劇場論述
3. 《戲中壁》｜劇作
4. 《邊緣檔案》｜劇作
5. 《阿罩霧將軍》｜劇作
6. 《滾動原鄉》｜劇作
7. 《身體的鄉愁》｜劇作
8. 《雨中的法西斯刑場》｜劇作
9. 《靈魂的口袋》｜劇作
10. 《魔幻帳篷》｜劇本集
11. 《來到邊境》｜詩抄</x:v>
      </x:c>
      <x:c r="K34" s="86" t="str">
        <x:v>受布雷希特與民眾劇場影響，強調社會批判、現場性與觀眾參與。</x:v>
      </x:c>
      <x:c r="L34" s="86" t="str">
        <x:v>已核對・作品已擴充</x:v>
      </x:c>
      <x:c r="M34" s="86" t="str">
        <x:v>臺中文學館・鍾喬小傳</x:v>
      </x:c>
      <x:c r="N34" s="86" t="str">
        <x:v>https://www.tlm.taichung.gov.tw/form/Details.aspx?Parser=2%2C8%2C46%2C95%2C%2C%2C101</x:v>
      </x:c>
      <x:c r="O34" s="86" t="str"/>
      <x:c r="P34" s="86" t="str"/>
      <x:c r="Q34" s="86" t="str"/>
      <x:c r="R34" s="86" t="str"/>
    </x:row>
    <x:row r="35" ht="180" customHeight="1">
      <x:c r="A35" s="92" t="n">
        <x:v>34</x:v>
      </x:c>
      <x:c r="B35" s="86" t="str">
        <x:v>劇作</x:v>
      </x:c>
      <x:c r="C35" s="86" t="str">
        <x:v>黎煥雄</x:v>
      </x:c>
      <x:c r="D35" s="86" t="str">
        <x:v>1962—</x:v>
      </x:c>
      <x:c r="E35" s="86" t="str">
        <x:v>詩人、導演與劇場工作者</x:v>
      </x:c>
      <x:c r="F35" s="86" t="str">
        <x:v>苗栗大湖人，河左岸劇團、創作社劇團創始成員，並任人力飛行劇團藝術總監。創作橫跨詩、劇本、音樂劇與舞臺導演。</x:v>
      </x:c>
      <x:c r="G35" s="86" t="str">
        <x:v>《星之暗湧》</x:v>
      </x:c>
      <x:c r="H35" s="86" t="str">
        <x:v>其代表劇場作品之一，從1980年代以來持續改寫與演出，展現解嚴世代的政治感知與劇場實驗。</x:v>
      </x:c>
      <x:c r="I35" s="92" t="n">
        <x:v>12</x:v>
      </x:c>
      <x:c r="J35" s="86" t="str">
        <x:v>1. 《闖入者》｜劇作
2. 《兀自照耀著的太陽》｜劇作
3. 《星之暗湧》｜劇作
4. 《海洋告別》｜劇作
5. 《虛構飛行》｜劇作
6. 《夜夜夜麻》｜劇作
7. 《一張床四人睡》｜劇作
8. 《地下鐵》｜音樂劇
9. 《幸運兒》｜音樂劇
10. 《向左走向右走》｜音樂劇
11. 《寂寞之城》｜詩集
12. 《黎煥雄劇場文集》｜劇場文集</x:v>
      </x:c>
      <x:c r="K35" s="86" t="str">
        <x:v>臺詞富詩性與節奏，善用多層意象、舞臺機關與動線引導觀眾進入情節。</x:v>
      </x:c>
      <x:c r="L35" s="86" t="str">
        <x:v>已核對・作品已擴充</x:v>
      </x:c>
      <x:c r="M35" s="86" t="str">
        <x:v>國家文化記憶庫・黎煥雄</x:v>
      </x:c>
      <x:c r="N35" s="86" t="str">
        <x:v>https://tcmb.culture.tw/zh-tw/detail?id=332277&amp;indexCode=Culture_People</x:v>
      </x:c>
      <x:c r="O35" s="86" t="str">
        <x:v>臺灣現代戲劇暨表演影音資料庫</x:v>
      </x:c>
      <x:c r="P35" s="86" t="str">
        <x:v>https://www.eti-tw.com/person/profile/Q3Pf6pctxtqeq2SR8</x:v>
      </x:c>
      <x:c r="Q35" s="86" t="str"/>
      <x:c r="R35" s="86" t="str"/>
    </x:row>
    <x:row r="36" ht="180" customHeight="1">
      <x:c r="A36" s="92" t="n">
        <x:v>35</x:v>
      </x:c>
      <x:c r="B36" s="86" t="str">
        <x:v>兒童文學</x:v>
      </x:c>
      <x:c r="C36" s="86" t="str">
        <x:v>陳正治</x:v>
      </x:c>
      <x:c r="D36" s="86" t="str">
        <x:v>1943—</x:v>
      </x:c>
      <x:c r="E36" s="86" t="str">
        <x:v>兒童文學作家、語文教育者</x:v>
      </x:c>
      <x:c r="F36" s="86" t="str">
        <x:v>生於苗栗，畢業於臺南師專、淡江中文系，長期從事兒童文學、語文教育、修辭與作文教學，著作及論文豐富。</x:v>
      </x:c>
      <x:c r="G36" s="86" t="str">
        <x:v>《聰明小童話》</x:v>
      </x:c>
      <x:c r="H36" s="86" t="str">
        <x:v>以適合兒童閱讀的短篇童話傳遞觀察、想像與思考；另著《有趣的中國文字》等語文教育作品。</x:v>
      </x:c>
      <x:c r="I36" s="92" t="n">
        <x:v>7</x:v>
      </x:c>
      <x:c r="J36" s="86" t="str">
        <x:v>1. 《聰明小童話》｜童話
2. 《兒歌ㄅㄆㄇ》｜兒歌／語文教育
3. 《中國文字》｜語文教育
4. 《全方位作文技巧》｜作文教育
5. 《兒童詩寫作研究》｜兒童文學研究
6. 《童話寫作研究》｜兒童文學研究
7. 《小朋友寫童話》｜兒童寫作教育</x:v>
      </x:c>
      <x:c r="K36" s="86" t="str">
        <x:v>寓知識於趣味，以清楚、活潑的語言連結識字、修辭與兒童想像。</x:v>
      </x:c>
      <x:c r="L36" s="86" t="str">
        <x:v>已核對・作品已擴充</x:v>
      </x:c>
      <x:c r="M36" s="86" t="str">
        <x:v>國立臺南大學校史・陳正治校友資料</x:v>
      </x:c>
      <x:c r="N36" s="86" t="str">
        <x:v>https://history.nutn.edu.tw/Download/SectionFiles/1933/1384/57D6847C-3B93-4E6A-9C3C-4BE082D41EB2.pdf</x:v>
      </x:c>
      <x:c r="O36" s="86" t="str"/>
      <x:c r="P36" s="86" t="str"/>
      <x:c r="Q36" s="86" t="str"/>
      <x:c r="R36" s="86" t="str"/>
    </x:row>
    <x:row r="37" ht="180" customHeight="1">
      <x:c r="A37" s="92" t="n">
        <x:v>36</x:v>
      </x:c>
      <x:c r="B37" s="86" t="str">
        <x:v>兒童文學</x:v>
      </x:c>
      <x:c r="C37" s="86" t="str">
        <x:v>杜榮琛</x:v>
      </x:c>
      <x:c r="D37" s="86" t="str">
        <x:v>1955—</x:v>
      </x:c>
      <x:c r="E37" s="86" t="str">
        <x:v>筆名杜子、杜痴、書呆子</x:v>
      </x:c>
      <x:c r="F37" s="86" t="str">
        <x:v>苗栗人，兒童詩人、作家與研究者，畢業於新竹師專，長期參與兒童文學團體與教學推廣。</x:v>
      </x:c>
      <x:c r="G37" s="86" t="str">
        <x:v>《稻草人》</x:v>
      </x:c>
      <x:c r="H37" s="86" t="str">
        <x:v>早期童詩集，另有《花夢》、《童詩五家》及多部兒歌、童詩教學與閱讀指導作品。</x:v>
      </x:c>
      <x:c r="I37" s="92" t="n">
        <x:v>7</x:v>
      </x:c>
      <x:c r="J37" s="86" t="str">
        <x:v>1. 《稻草人》｜童詩集
2. 《花夢》｜童詩集
3. 《兒童詩寫作與指導》｜兒童文學研究
4. 《拜訪童詩花園》｜童詩／賞析
5. 《心靈筆記》｜作品集
6. 《心靈的風景》｜作品集
7. 《想當國王的寓言家》｜兒童文學</x:v>
      </x:c>
      <x:c r="K37" s="86" t="str">
        <x:v>重視忠誠、慈愛、希望與兒童想像，語言有韻律且適合朗讀。</x:v>
      </x:c>
      <x:c r="L37" s="86" t="str">
        <x:v>已核對・作品已擴充</x:v>
      </x:c>
      <x:c r="M37" s="86" t="str">
        <x:v>國家文化記憶庫・杜榮琛</x:v>
      </x:c>
      <x:c r="N37" s="86" t="str">
        <x:v>https://tcmb.culture.tw/zh-tw/detail?id=333324&amp;indexCode=Culture_People</x:v>
      </x:c>
      <x:c r="O37" s="86" t="str">
        <x:v>國家網路書店・杜子詩文集</x:v>
      </x:c>
      <x:c r="P37" s="86" t="str">
        <x:v>https://www.govbooks.com.tw/books/68956</x:v>
      </x:c>
      <x:c r="Q37" s="86" t="str"/>
      <x:c r="R37" s="86" t="str"/>
    </x:row>
    <x:row r="38" ht="180" customHeight="1">
      <x:c r="A38" s="92" t="n">
        <x:v>37</x:v>
      </x:c>
      <x:c r="B38" s="86" t="str">
        <x:v>兒童文學</x:v>
      </x:c>
      <x:c r="C38" s="86" t="str">
        <x:v>洪志明</x:v>
      </x:c>
      <x:c r="D38" s="86" t="str">
        <x:v>1956—</x:v>
      </x:c>
      <x:c r="E38" s="86" t="str">
        <x:v>童詩、童話與寓言作家</x:v>
      </x:c>
      <x:c r="F38" s="86" t="str">
        <x:v>苗栗人，畢業於臺東師院兒童文學研究所，曾任國小教師並參與國語教科書編撰與兒童文學團體。</x:v>
      </x:c>
      <x:c r="G38" s="86" t="str">
        <x:v>《一分鐘寓言》</x:v>
      </x:c>
      <x:c r="H38" s="86" t="str">
        <x:v>以精簡、具啟發性的寓言帶領兒童思考；另有《童詩萬花筒》、《花巫婆的寵物店》、《星星樹》等。</x:v>
      </x:c>
      <x:c r="I38" s="92" t="n">
        <x:v>5</x:v>
      </x:c>
      <x:c r="J38" s="86" t="str">
        <x:v>1. 《童詩萬花筒》｜童詩
2. 《一分鐘寓言》｜寓言
3. 《花巫婆的寵物店》｜童話
4. 《星星樹》｜兒童文學
5. 《兒童文學評論集》｜評論</x:v>
      </x:c>
      <x:c r="K38" s="86" t="str">
        <x:v>輕鬆自然、富童趣，重視童詩創作歷程、閱讀欣賞與校園生活。</x:v>
      </x:c>
      <x:c r="L38" s="86" t="str">
        <x:v>已核對・作品已擴充</x:v>
      </x:c>
      <x:c r="M38" s="86" t="str">
        <x:v>國立臺灣文學館・臺灣文學辭典</x:v>
      </x:c>
      <x:c r="N38" s="86" t="str">
        <x:v>https://db.nmtl.gov.tw/site2/dictionary?id=Dictionary01471</x:v>
      </x:c>
      <x:c r="O38" s="86" t="str"/>
      <x:c r="P38" s="86" t="str"/>
      <x:c r="Q38" s="86" t="str"/>
      <x:c r="R38" s="86" t="str"/>
    </x:row>
    <x:row r="39" ht="180" customHeight="1">
      <x:c r="A39" s="92" t="n">
        <x:v>38</x:v>
      </x:c>
      <x:c r="B39" s="86" t="str">
        <x:v>報導文學</x:v>
      </x:c>
      <x:c r="C39" s="86" t="str">
        <x:v>張典婉</x:v>
      </x:c>
      <x:c r="D39" s="86" t="str">
        <x:v>1959—</x:v>
      </x:c>
      <x:c r="E39" s="86" t="str">
        <x:v>筆名司馬婉兒、客家妹</x:v>
      </x:c>
      <x:c r="F39" s="86" t="str">
        <x:v>在苗栗頭份客庄成長，資深媒體工作者與報導文學作家，曾兩度獲聯合報報導文學獎。長期記錄女性、客家族群、地方文化與戰後離散記憶。</x:v>
      </x:c>
      <x:c r="G39" s="86" t="str">
        <x:v>《太平輪一九四九》</x:v>
      </x:c>
      <x:c r="H39" s="86" t="str">
        <x:v>透過檔案、訪談與家族記憶重建太平輪事件及大時代中的個人命運，歷時多年採訪完成。</x:v>
      </x:c>
      <x:c r="I39" s="92" t="n">
        <x:v>4</x:v>
      </x:c>
      <x:c r="J39" s="86" t="str">
        <x:v>1. 《臺灣客家女性》｜報導／性別文化
2. 《太平輪一九四九》｜報導文學
3. 《青春風正好》｜報導文學｜副題：日治台灣客家青年群像
4. 《鹿港阿媽與施振榮》｜人物報導｜副題：施陳秀蓮的故事</x:v>
      </x:c>
      <x:c r="K39" s="86" t="str">
        <x:v>以田野訪談與檔案考證為骨架，融入家族史、女性觀點與口述記憶。</x:v>
      </x:c>
      <x:c r="L39" s="86" t="str">
        <x:v>已核對・作品已擴充</x:v>
      </x:c>
      <x:c r="M39" s="86" t="str">
        <x:v>國家文化記憶庫・張典婉</x:v>
      </x:c>
      <x:c r="N39" s="86" t="str">
        <x:v>https://tcmb.culture.tw/zh-tw/detail?id=333684&amp;indexCode=Culture_People</x:v>
      </x:c>
      <x:c r="O39" s="86" t="str">
        <x:v>國立臺灣文學館・張典婉作品目錄</x:v>
      </x:c>
      <x:c r="P39" s="86" t="str">
        <x:v>https://tln.nmtl.gov.tw/ch/m2/nmtl_w1_m2_l_2_1.aspx?k=%E5%BC%B5%E5%85%B8%E5%A9%89&amp;typ=book</x:v>
      </x:c>
      <x:c r="Q39" s="86" t="str">
        <x:v>中央社・《青春風正好》</x:v>
      </x:c>
      <x:c r="R39" s="86" t="str">
        <x:v>https://www.cna.com.tw/news/acul/202502050351.aspx</x:v>
      </x:c>
    </x:row>
    <x:row r="40" ht="180" customHeight="1">
      <x:c r="A40" s="93" t="n">
        <x:v>39</x:v>
      </x:c>
      <x:c r="B40" s="87" t="str">
        <x:v>報導文學</x:v>
      </x:c>
      <x:c r="C40" s="87" t="str">
        <x:v>藍博洲</x:v>
      </x:c>
      <x:c r="D40" s="87" t="str">
        <x:v>1960—</x:v>
      </x:c>
      <x:c r="E40" s="87" t="str">
        <x:v>記者、小說家與歷史書寫者</x:v>
      </x:c>
      <x:c r="F40" s="87" t="str">
        <x:v>生於苗栗西湖，記者與報導文學作家。長期訪談白色恐怖受難者及其家屬，透過口述歷史、檔案與文學敘事重建被壓抑的歷史記憶。</x:v>
      </x:c>
      <x:c r="G40" s="87" t="str">
        <x:v>《幌馬車之歌》</x:v>
      </x:c>
      <x:c r="H40" s="87" t="str">
        <x:v>追索醫師郭琇琮等人的生命與白色恐怖經驗，是其以報導文學介入臺灣近代史的重要作品。</x:v>
      </x:c>
      <x:c r="I40" s="93" t="n">
        <x:v>11</x:v>
      </x:c>
      <x:c r="J40" s="87" t="str">
        <x:v>1. 《幌馬車之歌》｜報導文學
2. 《尋訪被湮滅的臺灣史與臺灣人》｜報導文學
3. 《人間正道是滄桑》｜報導文學
4. 《臺灣好女人》｜人物報導
5. 《消失在歷史迷霧中的作家身影》｜文學史／報導
6. 《天未亮》｜歷史報導｜追憶1949年四六事件（師院部分）
7. 《麥浪歌詠隊》｜歷史報導｜追憶1949年四六事件（臺大部分）
8. 《藤纏樹》｜報導／小說
9. 《紅色客家人》｜歷史報導
10. 《紅色客家庄》｜歷史報導｜副題：大河底的政治風暴
11. 《一個青年小說家的誕生》｜作家研究</x:v>
      </x:c>
      <x:c r="K40" s="87" t="str">
        <x:v>以長期田野、口述訪談與歷史檔案交織，立場鮮明地為受難者作傳。</x:v>
      </x:c>
      <x:c r="L40" s="87" t="str">
        <x:v>已核對・作品已擴充</x:v>
      </x:c>
      <x:c r="M40" s="87" t="str">
        <x:v>國家文化記憶庫・《幌馬車之歌》相關典藏</x:v>
      </x:c>
      <x:c r="N40" s="87" t="str">
        <x:v>https://tcmb.culture.tw/zh-tw/detail?id=684737&amp;indexCode=Culture_Object</x:v>
      </x:c>
      <x:c r="O40" s="87" t="str">
        <x:v>數位典藏聯合目錄・藍博洲</x:v>
      </x:c>
      <x:c r="P40" s="87" t="str">
        <x:v>https://catalog.digitalarchives.tw/item/00/32/e3/9c.html</x:v>
      </x:c>
      <x:c r="Q40" s="87" t="str">
        <x:v>國家圖書館學位論文・藍博洲書目</x:v>
      </x:c>
      <x:c r="R40" s="87" t="str">
        <x:v>https://nhuir.nhu.edu.tw/retrieve/30815/095NHU05076005-001.pdf</x:v>
      </x:c>
    </x:row>
  </x:sheetData>
  <x:pageMargins left="0.7" right="0.7" top="0.75" bottom="0.75" header="0.3" footer="0.3"/>
  <x:tableParts count="1">
    <x:tablePart xmlns:r="http://schemas.openxmlformats.org/officeDocument/2006/relationships" r:id="R48f59d3723f44f16"/>
  </x:tableParts>
</x:worksheet>
</file>